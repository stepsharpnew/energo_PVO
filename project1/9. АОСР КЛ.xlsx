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ИД 2026г\4708 КТП, ВЛ 6кВ, КЛ 6кВ\"/>
    </mc:Choice>
  </mc:AlternateContent>
  <xr:revisionPtr revIDLastSave="0" documentId="13_ncr:1_{7E39B952-669E-4028-8947-B3659D684659}" xr6:coauthVersionLast="45" xr6:coauthVersionMax="47" xr10:uidLastSave="{00000000-0000-0000-0000-000000000000}"/>
  <bookViews>
    <workbookView xWindow="30612" yWindow="-108" windowWidth="30936" windowHeight="16896" tabRatio="779" activeTab="6" xr2:uid="{00000000-000D-0000-FFFF-FFFF00000000}"/>
  </bookViews>
  <sheets>
    <sheet name="данные строй" sheetId="17" r:id="rId1"/>
    <sheet name="Данные организации" sheetId="15" r:id="rId2"/>
    <sheet name="Данные объект" sheetId="16" r:id="rId3"/>
    <sheet name="АОСР-1" sheetId="2" state="hidden" r:id="rId4"/>
    <sheet name="АОСР-2" sheetId="10" state="hidden" r:id="rId5"/>
    <sheet name="АОСР-3" sheetId="11" r:id="rId6"/>
    <sheet name="АОСР-4" sheetId="12" r:id="rId7"/>
    <sheet name="АОСР-5" sheetId="13" state="hidden" r:id="rId8"/>
    <sheet name="АОСР-6" sheetId="18" state="hidden" r:id="rId9"/>
    <sheet name="АОСР-7" sheetId="14" state="hidden" r:id="rId10"/>
    <sheet name="АОСР-пожар" sheetId="19" state="hidden" r:id="rId11"/>
  </sheets>
  <definedNames>
    <definedName name="кабель">#REF!</definedName>
    <definedName name="_xlnm.Print_Area" localSheetId="3">'АОСР-1'!$A$1:$AJ$115</definedName>
    <definedName name="_xlnm.Print_Area" localSheetId="4">'АОСР-2'!$A$1:$AJ$116</definedName>
    <definedName name="_xlnm.Print_Area" localSheetId="5">'АОСР-3'!$A$1:$AJ$116</definedName>
    <definedName name="_xlnm.Print_Area" localSheetId="6">'АОСР-4'!$A$1:$AJ$116</definedName>
    <definedName name="_xlnm.Print_Area" localSheetId="7">'АОСР-5'!$A$1:$AJ$116</definedName>
    <definedName name="_xlnm.Print_Area" localSheetId="8">'АОСР-6'!$A$1:$AJ$116</definedName>
    <definedName name="_xlnm.Print_Area" localSheetId="9">'АОСР-7'!$A$1:$AJ$115</definedName>
    <definedName name="_xlnm.Print_Area" localSheetId="10">'АОСР-пожар'!$A$1:$AJ$116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2" i="11" l="1"/>
  <c r="K69" i="19" l="1"/>
  <c r="O69" i="19"/>
  <c r="A115" i="19"/>
  <c r="A109" i="19"/>
  <c r="A106" i="19"/>
  <c r="A102" i="19"/>
  <c r="A99" i="19"/>
  <c r="B94" i="19"/>
  <c r="P78" i="19"/>
  <c r="AB32" i="19" s="1"/>
  <c r="P77" i="19"/>
  <c r="A69" i="19"/>
  <c r="A65" i="19"/>
  <c r="A58" i="19"/>
  <c r="A53" i="19"/>
  <c r="A44" i="19"/>
  <c r="A41" i="19"/>
  <c r="A38" i="19"/>
  <c r="A26" i="19"/>
  <c r="A24" i="19"/>
  <c r="A22" i="19"/>
  <c r="A19" i="19"/>
  <c r="A17" i="19"/>
  <c r="A15" i="19"/>
  <c r="A12" i="19"/>
  <c r="A10" i="19"/>
  <c r="A8" i="19"/>
  <c r="A5" i="19"/>
  <c r="A4" i="19"/>
  <c r="A62" i="14"/>
  <c r="B94" i="18"/>
  <c r="J69" i="18"/>
  <c r="A62" i="18"/>
  <c r="A115" i="18"/>
  <c r="A109" i="18"/>
  <c r="A106" i="18"/>
  <c r="A102" i="18"/>
  <c r="A99" i="18"/>
  <c r="B93" i="18"/>
  <c r="P78" i="18"/>
  <c r="AB32" i="18" s="1"/>
  <c r="P77" i="18"/>
  <c r="A65" i="18"/>
  <c r="A58" i="18"/>
  <c r="A53" i="18"/>
  <c r="A44" i="18"/>
  <c r="A41" i="18"/>
  <c r="A38" i="18"/>
  <c r="A26" i="18"/>
  <c r="A24" i="18"/>
  <c r="A22" i="18"/>
  <c r="A19" i="18"/>
  <c r="A17" i="18"/>
  <c r="A15" i="18"/>
  <c r="A12" i="18"/>
  <c r="A10" i="18"/>
  <c r="A8" i="18"/>
  <c r="A5" i="18"/>
  <c r="A4" i="18"/>
  <c r="H25" i="15" l="1"/>
  <c r="H24" i="15"/>
  <c r="H23" i="15"/>
  <c r="K69" i="13" l="1"/>
  <c r="N62" i="13"/>
  <c r="A106" i="10"/>
  <c r="A99" i="10"/>
  <c r="A108" i="14"/>
  <c r="A109" i="13"/>
  <c r="A109" i="10"/>
  <c r="A108" i="2"/>
  <c r="C34" i="16"/>
  <c r="C37" i="16"/>
  <c r="C36" i="16"/>
  <c r="C35" i="16"/>
  <c r="A47" i="12" l="1"/>
  <c r="A47" i="18"/>
  <c r="A47" i="19"/>
  <c r="A36" i="14"/>
  <c r="A36" i="18"/>
  <c r="A36" i="19"/>
  <c r="A47" i="13"/>
  <c r="A47" i="14"/>
  <c r="A47" i="2"/>
  <c r="A47" i="10"/>
  <c r="A47" i="11"/>
  <c r="X62" i="14"/>
  <c r="B94" i="12"/>
  <c r="K69" i="12"/>
  <c r="D69" i="12"/>
  <c r="R62" i="10"/>
  <c r="S62" i="2"/>
  <c r="E69" i="10" l="1"/>
  <c r="E69" i="13" l="1"/>
  <c r="J69" i="11"/>
  <c r="B25" i="16" l="1"/>
  <c r="B24" i="16"/>
  <c r="B44" i="16" l="1"/>
  <c r="T62" i="14" l="1"/>
  <c r="P78" i="10" l="1"/>
  <c r="B94" i="13" l="1"/>
  <c r="N62" i="11"/>
  <c r="B94" i="10"/>
  <c r="A105" i="14"/>
  <c r="A101" i="14"/>
  <c r="A98" i="14"/>
  <c r="A106" i="13"/>
  <c r="A102" i="13"/>
  <c r="A99" i="13"/>
  <c r="A106" i="12"/>
  <c r="A102" i="12"/>
  <c r="A99" i="12"/>
  <c r="A106" i="11"/>
  <c r="A102" i="11"/>
  <c r="A99" i="11"/>
  <c r="A102" i="10"/>
  <c r="A105" i="2"/>
  <c r="A101" i="2"/>
  <c r="A98" i="2"/>
  <c r="P78" i="14"/>
  <c r="AB32" i="14" s="1"/>
  <c r="P77" i="14"/>
  <c r="P78" i="13"/>
  <c r="AB32" i="13" s="1"/>
  <c r="P77" i="13"/>
  <c r="P78" i="12"/>
  <c r="AB32" i="12" s="1"/>
  <c r="P77" i="12"/>
  <c r="P78" i="11"/>
  <c r="AB32" i="11" s="1"/>
  <c r="P77" i="11"/>
  <c r="AB32" i="10"/>
  <c r="P77" i="10"/>
  <c r="P78" i="2"/>
  <c r="AB32" i="2" s="1"/>
  <c r="P77" i="2"/>
  <c r="A65" i="2"/>
  <c r="A65" i="10"/>
  <c r="A65" i="11"/>
  <c r="A65" i="12"/>
  <c r="A65" i="13"/>
  <c r="A65" i="14"/>
  <c r="A58" i="14"/>
  <c r="A53" i="14"/>
  <c r="A58" i="13"/>
  <c r="A53" i="13"/>
  <c r="A58" i="12"/>
  <c r="A53" i="12"/>
  <c r="A58" i="11"/>
  <c r="A53" i="11"/>
  <c r="A58" i="10"/>
  <c r="A53" i="10"/>
  <c r="A58" i="2"/>
  <c r="C32" i="10"/>
  <c r="A26" i="14"/>
  <c r="A24" i="14"/>
  <c r="A22" i="14"/>
  <c r="A19" i="14"/>
  <c r="A15" i="14"/>
  <c r="A8" i="14"/>
  <c r="A5" i="14"/>
  <c r="A4" i="14"/>
  <c r="A26" i="13"/>
  <c r="A24" i="13"/>
  <c r="A22" i="13"/>
  <c r="A19" i="13"/>
  <c r="A15" i="13"/>
  <c r="A8" i="13"/>
  <c r="A5" i="13"/>
  <c r="A4" i="13"/>
  <c r="A26" i="12"/>
  <c r="A24" i="12"/>
  <c r="A22" i="12"/>
  <c r="A19" i="12"/>
  <c r="A15" i="12"/>
  <c r="A8" i="12"/>
  <c r="A5" i="12"/>
  <c r="A4" i="12"/>
  <c r="A26" i="11"/>
  <c r="A24" i="11"/>
  <c r="A22" i="11"/>
  <c r="A19" i="11"/>
  <c r="A15" i="11"/>
  <c r="A8" i="11"/>
  <c r="A5" i="11"/>
  <c r="A4" i="11"/>
  <c r="A26" i="10"/>
  <c r="A24" i="10"/>
  <c r="A22" i="10"/>
  <c r="A19" i="10"/>
  <c r="A15" i="10"/>
  <c r="A8" i="10"/>
  <c r="A5" i="10"/>
  <c r="A4" i="10"/>
  <c r="A4" i="2"/>
  <c r="A26" i="2"/>
  <c r="A24" i="2"/>
  <c r="A22" i="2"/>
  <c r="A19" i="2"/>
  <c r="A15" i="2"/>
  <c r="A8" i="2"/>
  <c r="A5" i="2" l="1"/>
  <c r="C33" i="16"/>
  <c r="C32" i="16"/>
  <c r="C31" i="16"/>
  <c r="C30" i="16"/>
  <c r="C29" i="16"/>
  <c r="C28" i="16"/>
  <c r="C27" i="16"/>
  <c r="C26" i="16"/>
  <c r="C21" i="16"/>
  <c r="C20" i="16"/>
  <c r="C19" i="16"/>
  <c r="C18" i="16"/>
  <c r="C17" i="16"/>
  <c r="C16" i="16"/>
  <c r="C15" i="16"/>
  <c r="D29" i="15"/>
  <c r="C29" i="15"/>
  <c r="G28" i="15"/>
  <c r="D28" i="15"/>
  <c r="C28" i="15"/>
  <c r="I27" i="15"/>
  <c r="G27" i="15"/>
  <c r="D27" i="15"/>
  <c r="C27" i="15"/>
  <c r="I26" i="15"/>
  <c r="G26" i="15"/>
  <c r="D26" i="15"/>
  <c r="C26" i="15"/>
  <c r="I25" i="15"/>
  <c r="G25" i="15"/>
  <c r="D25" i="15"/>
  <c r="C25" i="15"/>
  <c r="I24" i="15"/>
  <c r="G24" i="15"/>
  <c r="D24" i="15"/>
  <c r="C24" i="15"/>
  <c r="I23" i="15"/>
  <c r="G23" i="15"/>
  <c r="D23" i="15"/>
  <c r="C23" i="15"/>
  <c r="A12" i="12" l="1"/>
  <c r="A12" i="14"/>
  <c r="A12" i="10"/>
  <c r="A12" i="2"/>
  <c r="A12" i="11"/>
  <c r="A12" i="13"/>
  <c r="A41" i="11"/>
  <c r="A41" i="14"/>
  <c r="A41" i="10"/>
  <c r="A41" i="2"/>
  <c r="A41" i="12"/>
  <c r="A41" i="13"/>
  <c r="A17" i="11"/>
  <c r="A17" i="12"/>
  <c r="A17" i="14"/>
  <c r="A17" i="10"/>
  <c r="A17" i="2"/>
  <c r="A17" i="13"/>
  <c r="A44" i="12"/>
  <c r="A44" i="14"/>
  <c r="A44" i="10"/>
  <c r="A44" i="2"/>
  <c r="A44" i="13"/>
  <c r="A44" i="11"/>
  <c r="A10" i="10"/>
  <c r="A10" i="2"/>
  <c r="A10" i="13"/>
  <c r="A10" i="12"/>
  <c r="A10" i="14"/>
  <c r="A10" i="11"/>
  <c r="A36" i="10"/>
  <c r="A36" i="11"/>
  <c r="A36" i="2"/>
  <c r="A36" i="13"/>
  <c r="A36" i="12"/>
  <c r="C11" i="16"/>
  <c r="C23" i="16"/>
  <c r="A114" i="14"/>
  <c r="B93" i="14"/>
  <c r="A115" i="13"/>
  <c r="B93" i="13"/>
  <c r="A115" i="12"/>
  <c r="B93" i="12"/>
  <c r="B94" i="11"/>
  <c r="A115" i="11"/>
  <c r="B93" i="11"/>
  <c r="A115" i="10"/>
  <c r="B93" i="10"/>
  <c r="B93" i="2"/>
  <c r="A114" i="2"/>
  <c r="A53" i="2"/>
  <c r="A38" i="11" l="1"/>
  <c r="A38" i="12"/>
  <c r="A38" i="14"/>
  <c r="A38" i="10"/>
  <c r="A38" i="2"/>
  <c r="A38" i="13"/>
  <c r="C32" i="12" l="1"/>
  <c r="C32" i="13" s="1"/>
</calcChain>
</file>

<file path=xl/sharedStrings.xml><?xml version="1.0" encoding="utf-8"?>
<sst xmlns="http://schemas.openxmlformats.org/spreadsheetml/2006/main" count="987" uniqueCount="217">
  <si>
    <t>(исполнительные схемы и чертежи, результаты экспертиз, обследований, лабораторных и иных испытаний)</t>
  </si>
  <si>
    <t>Приложения:</t>
  </si>
  <si>
    <t>Дополнительные сведения</t>
  </si>
  <si>
    <t xml:space="preserve">7. Разрешается  производство   последующих  работ </t>
  </si>
  <si>
    <t>(наименования и структурные единицы технических регламентов,</t>
  </si>
  <si>
    <t xml:space="preserve">6. Работы выполнены в соответствии с </t>
  </si>
  <si>
    <t>г.</t>
  </si>
  <si>
    <t xml:space="preserve">              окончания работ</t>
  </si>
  <si>
    <t>5. Даты: начала работ</t>
  </si>
  <si>
    <t>(исполнительные схемы и чертежи, результаты экспертиз, обследований, лабораторных</t>
  </si>
  <si>
    <t>требованиям:</t>
  </si>
  <si>
    <t xml:space="preserve">4. Предъявлены документы, подтверждающие соответствие работ предъявляемым к ним </t>
  </si>
  <si>
    <t>3. При выполнении работ применены</t>
  </si>
  <si>
    <t>2. Работы выполнены по проектной документации</t>
  </si>
  <si>
    <t>(наименование скрытых работ)</t>
  </si>
  <si>
    <t>и составили настоящий акт о нижеследующем:</t>
  </si>
  <si>
    <t>произвели осмотр работ, выполненных</t>
  </si>
  <si>
    <t>(дата составления акта)</t>
  </si>
  <si>
    <t>№</t>
  </si>
  <si>
    <t>освидетельствования скрытых работ</t>
  </si>
  <si>
    <t>Лицо, осуществляющее подготовку проектной документации</t>
  </si>
  <si>
    <t>Объект капитального строительства</t>
  </si>
  <si>
    <t>Лицо, осуществляющее строительство, реконструкцию, капитальный ремонт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</si>
  <si>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</si>
  <si>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</si>
  <si>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</si>
  <si>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</si>
  <si>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</si>
  <si>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</si>
  <si>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(должность (при наличии), фамилия, инициалы, реквизиты распорядительного документа, подтверждающего полномочия,</t>
  </si>
  <si>
    <t>1. К освидетельствованию предъявлены следующие работы:</t>
  </si>
  <si>
    <t xml:space="preserve"> и иных испытаний выполненных работ, проведенных в процессе строительного контроля)</t>
  </si>
  <si>
    <t>(наименование работ, строительных конструкций, участков сетей инженерно-технического обеспечения)</t>
  </si>
  <si>
    <t>экземплярах (в случае заполнения акта на бумажном носителе).</t>
  </si>
  <si>
    <t>(подпись)</t>
  </si>
  <si>
    <t>(фамилия, инициалы)</t>
  </si>
  <si>
    <t>АКТ</t>
  </si>
  <si>
    <t xml:space="preserve">(фамилия, имя, отчество (последнее -  при наличии), адрес места жительства, ОРГНИП, ИНН индивидуального предпринимателя, </t>
  </si>
  <si>
    <t>(полное и (или) сокращенное наименование или фамилия, имя, отчество (последнее - при наличии) лица,  выполнившего работы, подлежащие освидетельствованию)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</si>
  <si>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</si>
  <si>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приложение №3</t>
  </si>
  <si>
    <t>Приказ Минстроя  №344/пр от 16.05.2023</t>
  </si>
  <si>
    <t>Застройщик, технический заказчик, лицо, ответственное за  эксплуатацию здания, сооружения, или региональный оператор</t>
  </si>
  <si>
    <t xml:space="preserve"> (последнее -  при наличии), паспортные данные, адрес места жительства, телефон или факс - для физических лиц, не являющихся индивидуальными предпринимателями)</t>
  </si>
  <si>
    <t>полное и (или) сокращенное наименование,  ОГРН, ИНН, адрес юридического лица в пределах его местонахождения, телефон или факс,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</si>
  <si>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</si>
  <si>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</si>
  <si>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реквизиты распоряительного документа, подтверждающего полномочия, </t>
  </si>
  <si>
    <t>с указанием полного и (или) сокращенного наименования, ОГРН, ИНН, адреса юридического лица в пределах его места нахождения (в случае осуществления строительного контроля на основании договора с застройщиком или техническим заказчиком), фамилии, имени, отчества (последнее - при наличии), адреса места жительства, ОГРНИП, ИНН индивиуального предпринимателя (в случае осуществления строительного контроля на основании договора с застройщиком или техническим заказчиком)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</si>
  <si>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</si>
  <si>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обектов капитального строительства не требуется), 
реквизиты распоряительного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</si>
  <si>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</si>
  <si>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ОГРНИП, ИНН индивиуального предпринимателя)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</si>
  <si>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</si>
  <si>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с указанием полного и (или) сокращенного наименования, ОГРН, ИНН, адреса юридического лица в пределах его места нахождения, фамилии, имени, отчества (последнее - при наличии), адреса места жительства, ОРГНИП, ИНН индивидуального предпринимателя)</t>
  </si>
  <si>
    <t>(наименования строительных  материалов (изделий),</t>
  </si>
  <si>
    <t>реквизиты сертификатов и (или)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</si>
  <si>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>иных нормативных правовых актов, разделы проектной и (или) рабочей документации)</t>
  </si>
  <si>
    <t xml:space="preserve">(фамилия, имя, отчество (последнее -  при наличии), адрес места жительства, ОРГНИП, ИНН индивидуального предпринимателя, полное и (или) сокращенное наименование,  ОГРН, ИНН, адрес  юридического лица в пределах его нахождения, телефон или факс, 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</si>
  <si>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фамилия, имя, отчество</t>
  </si>
  <si>
    <t>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 строительства, 
реконструкции, капитального ремонта объектов капитального строительства не требуется)</t>
  </si>
  <si>
    <t>полное и (или) сокращенное наименование,  ОГРН, ИНН, адрес юридического лица в пределах его места нахождения, телефон или факс,</t>
  </si>
  <si>
    <t>Объект</t>
  </si>
  <si>
    <t>Город</t>
  </si>
  <si>
    <t>Адрес</t>
  </si>
  <si>
    <t>адрес</t>
  </si>
  <si>
    <t>Монтажная организация</t>
  </si>
  <si>
    <t xml:space="preserve">Организация </t>
  </si>
  <si>
    <t>Должность</t>
  </si>
  <si>
    <t>Прораб</t>
  </si>
  <si>
    <t>Ф.И.О.</t>
  </si>
  <si>
    <t>Волков М.Ю.</t>
  </si>
  <si>
    <t>Заказчик</t>
  </si>
  <si>
    <t>Чуев А.Н.</t>
  </si>
  <si>
    <t>-</t>
  </si>
  <si>
    <t>Ефремкин Е.И.</t>
  </si>
  <si>
    <t>Гл. специалист ПТГ</t>
  </si>
  <si>
    <t>Царькова Н.К.</t>
  </si>
  <si>
    <t>Проект</t>
  </si>
  <si>
    <t>г. Солнечногорск</t>
  </si>
  <si>
    <t>Название</t>
  </si>
  <si>
    <t>ОГРН 1057746555811 ИНН 5036065113 КПП 772501001</t>
  </si>
  <si>
    <t>м3</t>
  </si>
  <si>
    <t xml:space="preserve">1. </t>
  </si>
  <si>
    <t>1 лист</t>
  </si>
  <si>
    <t>2.</t>
  </si>
  <si>
    <t>/КЛ</t>
  </si>
  <si>
    <r>
      <t xml:space="preserve">Акт составлен в </t>
    </r>
    <r>
      <rPr>
        <b/>
        <sz val="8"/>
        <rFont val="Times New Roman"/>
        <family val="1"/>
        <charset val="204"/>
      </rPr>
      <t xml:space="preserve"> </t>
    </r>
  </si>
  <si>
    <t>;</t>
  </si>
  <si>
    <t>Исполнителная схема устройства траншеи</t>
  </si>
  <si>
    <t>Песчаное основание траншеи под прокладку КЛ</t>
  </si>
  <si>
    <t>Песок</t>
  </si>
  <si>
    <t>м</t>
  </si>
  <si>
    <t xml:space="preserve">Прокладка кабеля </t>
  </si>
  <si>
    <t>АСБл 3х120</t>
  </si>
  <si>
    <t>АСБл 3х240</t>
  </si>
  <si>
    <t>Кабель</t>
  </si>
  <si>
    <t>Обратная засыпка песком</t>
  </si>
  <si>
    <t>шт</t>
  </si>
  <si>
    <t>Инженер по строительному контролю</t>
  </si>
  <si>
    <t>Капитонов Д.А.</t>
  </si>
  <si>
    <t>Приказ № 18-ОТ/24 от 03 июня 2024 (НОСТРОЙ С-50-188017)</t>
  </si>
  <si>
    <t>Приказ №05-ОТ/24 от 09 января 2024г</t>
  </si>
  <si>
    <t>Электромонтажные работы выполнены по проектной документации согласно требованиям СП 76.13330.2016. и ПУЭ</t>
  </si>
  <si>
    <t>организация</t>
  </si>
  <si>
    <t>ООО"Энергосистемы"</t>
  </si>
  <si>
    <t>ООО «Гефест»</t>
  </si>
  <si>
    <t>ООО "Энком"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</si>
  <si>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</si>
  <si>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</si>
  <si>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</si>
  <si>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</si>
  <si>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 xml:space="preserve">141508, Московская область, г.о. Солнечногорск, г. Солнечногорск, ул. Промышленная, стр. 5, помещение 179
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</si>
  <si>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</si>
  <si>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</si>
  <si>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</si>
  <si>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</si>
  <si>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</si>
  <si>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</si>
  <si>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</si>
  <si>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</si>
  <si>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</si>
  <si>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</si>
  <si>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</si>
  <si>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</si>
  <si>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</si>
  <si>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</si>
  <si>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</si>
  <si>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</si>
  <si>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</si>
  <si>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</si>
  <si>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</si>
  <si>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Приказ №01/24-ОТ от 15.01.2024 (НРС № С-61-104369)</t>
  </si>
  <si>
    <t>ФИО стр.контр.</t>
  </si>
  <si>
    <t>Саженова Л.В.</t>
  </si>
  <si>
    <t>Представитель</t>
  </si>
  <si>
    <t>ФИО предст.</t>
  </si>
  <si>
    <t>Гл. спец. сектора по льготным договорам тп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</si>
  <si>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</si>
  <si>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</si>
  <si>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</si>
  <si>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</si>
  <si>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</si>
  <si>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</si>
  <si>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Данные объекта</t>
  </si>
  <si>
    <t xml:space="preserve">№ САП </t>
  </si>
  <si>
    <t>р-н</t>
  </si>
  <si>
    <t>Дата старт</t>
  </si>
  <si>
    <t>Дата финиш</t>
  </si>
  <si>
    <t>Наименование электроустановки</t>
  </si>
  <si>
    <t>Реквизиты</t>
  </si>
  <si>
    <t>ФИО</t>
  </si>
  <si>
    <t>Приказ</t>
  </si>
  <si>
    <t>КЛ</t>
  </si>
  <si>
    <t>Прокладка кабельной линии</t>
  </si>
  <si>
    <t>КЛ-10кВ</t>
  </si>
  <si>
    <t>КЛ-6кВ</t>
  </si>
  <si>
    <t>КЛ-0,4кВ</t>
  </si>
  <si>
    <t>АВБбШв 4х120</t>
  </si>
  <si>
    <t>АВБбШв 4х150</t>
  </si>
  <si>
    <t>АВБбШв 4х185</t>
  </si>
  <si>
    <t>АВБбШв 4х240</t>
  </si>
  <si>
    <t>АВБбШв 4х95</t>
  </si>
  <si>
    <t>АПвВнг(А)-LS 1х95/35</t>
  </si>
  <si>
    <t xml:space="preserve">Выемка грунта траншеи под прокладку </t>
  </si>
  <si>
    <t xml:space="preserve">Песчаное основание траншеи под прокладку </t>
  </si>
  <si>
    <t>,</t>
  </si>
  <si>
    <t xml:space="preserve">Устройство трубопровода под прокладку </t>
  </si>
  <si>
    <t>Устройство трубопровода под прокладку КЛ</t>
  </si>
  <si>
    <t>Паспорт качества № 1925 от 15.01.2025г.</t>
  </si>
  <si>
    <t xml:space="preserve">, </t>
  </si>
  <si>
    <t>Русин В.А.</t>
  </si>
  <si>
    <t>Приказ № 13-ОТ/25 от 05 мая 2025 (НОСТРОЙ С-50-085497)</t>
  </si>
  <si>
    <t>ОГРН 1077762950055 ИНН 7743668640 КПП 770801001</t>
  </si>
  <si>
    <t>107140, г.Москва, ул. Краснопрудная, д. 12/1, стр. 1, помещ. 1/6</t>
  </si>
  <si>
    <t>Дандре Г.А.</t>
  </si>
  <si>
    <t>НРС № С-77-286715</t>
  </si>
  <si>
    <t>Филлипов А.Ю.</t>
  </si>
  <si>
    <t xml:space="preserve">Главный инженер </t>
  </si>
  <si>
    <t>Приказ № ОТ-25 от 12.01.2024</t>
  </si>
  <si>
    <t>Горбан Г.К.</t>
  </si>
  <si>
    <t>А также иные представители лиц, участвующих в освидетельствовании:</t>
  </si>
  <si>
    <t>Представители иных лиц: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</si>
  <si>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</si>
  <si>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Курчин М.М.</t>
  </si>
  <si>
    <t>Мастер СРЭС СЭС филиала</t>
  </si>
  <si>
    <t>Алексанян Г.Р.</t>
  </si>
  <si>
    <t>Приказ №53 от 13 марта 2025г. (НРС С-50-77-262451)</t>
  </si>
  <si>
    <t>Шатковский А.Н.</t>
  </si>
  <si>
    <t>Прокладка плитки ПЗК</t>
  </si>
  <si>
    <t xml:space="preserve">Прокладка сигнальной ленты </t>
  </si>
  <si>
    <t>Обратная засыпка грунтом</t>
  </si>
  <si>
    <t>Плитка ПЗК -</t>
  </si>
  <si>
    <t>Сигнальная лента ЛЭС300 -</t>
  </si>
  <si>
    <t>Сертификат №</t>
  </si>
  <si>
    <t>м2</t>
  </si>
  <si>
    <t>кг</t>
  </si>
  <si>
    <t>Огнезащитная паста</t>
  </si>
  <si>
    <t>Стабитерм-225</t>
  </si>
  <si>
    <t>Исполнительная схема ввода КЛ в ТП</t>
  </si>
  <si>
    <t>Исполнителная схема ввода КЛ в ТП</t>
  </si>
  <si>
    <t>Приказ №1904 от 03 июня 2026г (НРС С-50-069023)</t>
  </si>
  <si>
    <t>SAP - 308092</t>
  </si>
  <si>
    <t>Строительство ТП - 6/0,4кВ, ВЛЗ-6 кВ от ВЛЗ-6кВ ф. ЦРП-48 - ТП-326 ПС №387 "Подрезково", ВЛИ-0,38 кВ, рлр, ВРЩ-0,4 кВ, в т.ч. ПИР, МО, Химкинский р-н, г. Химки</t>
  </si>
  <si>
    <t>МО, Химкинский р-н, г. Химки</t>
  </si>
  <si>
    <t>09.06.2026</t>
  </si>
  <si>
    <t>15.06.2026</t>
  </si>
  <si>
    <t>КЛ-0,4кВ ф.1 от КТП №1542</t>
  </si>
  <si>
    <t>4708-308092-125-11/24.ЭС</t>
  </si>
  <si>
    <t>/КЛ-0,4кВ</t>
  </si>
  <si>
    <t>Труба гофрированная d63мм</t>
  </si>
  <si>
    <t>Сертификат соответствия №04ИДЮ137.RU.C00917 от 14.09.2024г.</t>
  </si>
  <si>
    <t>АВБШв 4х95</t>
  </si>
  <si>
    <t>Сертификат (паспорт) качества №4353/26С от 01.2026г.</t>
  </si>
  <si>
    <t>Пусконаладочные работы</t>
  </si>
  <si>
    <t>Исполнителная схема устройства трубопровода</t>
  </si>
  <si>
    <t>Исполнителная схема устройства ккабельной линии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</si>
</sst>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_-* #,##0.00&quot;р.&quot;_-;\-* #,##0.00&quot;р.&quot;_-;_-* &quot;-&quot;??&quot;р.&quot;_-;_-@_-"/>
  </numFmts>
  <fonts count="25" x14ac:knownFonts="1">
    <font>
      <sz val="10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6"/>
      <name val="Times New Roman"/>
      <family val="1"/>
      <charset val="204"/>
    </font>
    <font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9"/>
      <name val="Tahoma"/>
      <family val="2"/>
      <charset val="204"/>
    </font>
    <font>
      <i/>
      <sz val="9"/>
      <name val="Times New Roman"/>
      <family val="1"/>
      <charset val="204"/>
    </font>
    <font>
      <b/>
      <i/>
      <sz val="6"/>
      <name val="Tahoma"/>
      <family val="2"/>
      <charset val="204"/>
    </font>
    <font>
      <i/>
      <sz val="6"/>
      <name val="Times New Roman"/>
      <family val="1"/>
      <charset val="204"/>
    </font>
    <font>
      <b/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i/>
      <sz val="8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10"/>
      <color theme="1"/>
      <name val="Arial"/>
      <family val="2"/>
    </font>
    <font>
      <sz val="11"/>
      <name val="Calibri"/>
      <family val="2"/>
    </font>
    <font>
      <sz val="7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9">
    <xf numFmtId="0" fontId="0" fillId="0" borderId="0"/>
    <xf numFmtId="0" fontId="3" fillId="0" borderId="0"/>
    <xf numFmtId="0" fontId="2" fillId="0" borderId="0"/>
    <xf numFmtId="165" fontId="2" fillId="0" borderId="0" applyFont="0" applyFill="0" applyBorder="0" applyAlignment="0" applyProtection="0"/>
    <xf numFmtId="0" fontId="22" fillId="0" borderId="0"/>
    <xf numFmtId="0" fontId="23" fillId="0" borderId="0"/>
    <xf numFmtId="0" fontId="5" fillId="0" borderId="0"/>
    <xf numFmtId="0" fontId="1" fillId="0" borderId="0"/>
    <xf numFmtId="165" fontId="1" fillId="0" borderId="0" applyFont="0" applyFill="0" applyBorder="0" applyAlignment="0" applyProtection="0"/>
  </cellStyleXfs>
  <cellXfs count="163">
    <xf numFmtId="0" fontId="0" fillId="0" borderId="0" xfId="0"/>
    <xf numFmtId="0" fontId="4" fillId="0" borderId="0" xfId="1" applyFont="1"/>
    <xf numFmtId="0" fontId="0" fillId="0" borderId="1" xfId="0" applyBorder="1"/>
    <xf numFmtId="0" fontId="5" fillId="0" borderId="0" xfId="0" applyFont="1"/>
    <xf numFmtId="0" fontId="8" fillId="0" borderId="0" xfId="1" applyFont="1"/>
    <xf numFmtId="0" fontId="8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8" fillId="0" borderId="0" xfId="1" applyFont="1" applyAlignment="1">
      <alignment horizontal="left"/>
    </xf>
    <xf numFmtId="0" fontId="11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right"/>
    </xf>
    <xf numFmtId="0" fontId="8" fillId="0" borderId="0" xfId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6" fillId="0" borderId="0" xfId="1" applyFont="1"/>
    <xf numFmtId="0" fontId="7" fillId="0" borderId="0" xfId="1" applyFont="1"/>
    <xf numFmtId="0" fontId="7" fillId="0" borderId="0" xfId="1" applyFont="1" applyAlignment="1">
      <alignment horizontal="left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center" wrapText="1"/>
    </xf>
    <xf numFmtId="0" fontId="7" fillId="0" borderId="0" xfId="1" applyFont="1" applyAlignment="1">
      <alignment vertical="center"/>
    </xf>
    <xf numFmtId="0" fontId="12" fillId="0" borderId="0" xfId="1" applyFont="1"/>
    <xf numFmtId="0" fontId="13" fillId="0" borderId="0" xfId="1" applyFont="1" applyAlignment="1">
      <alignment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wrapText="1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right"/>
    </xf>
    <xf numFmtId="0" fontId="14" fillId="0" borderId="6" xfId="1" applyFont="1" applyBorder="1"/>
    <xf numFmtId="0" fontId="14" fillId="0" borderId="6" xfId="1" applyFont="1" applyBorder="1" applyAlignment="1">
      <alignment horizontal="center"/>
    </xf>
    <xf numFmtId="0" fontId="16" fillId="0" borderId="0" xfId="1" applyFont="1" applyAlignment="1">
      <alignment horizontal="center"/>
    </xf>
    <xf numFmtId="0" fontId="16" fillId="0" borderId="0" xfId="1" applyFont="1"/>
    <xf numFmtId="0" fontId="14" fillId="0" borderId="4" xfId="1" applyFont="1" applyBorder="1" applyAlignment="1">
      <alignment horizontal="center"/>
    </xf>
    <xf numFmtId="0" fontId="14" fillId="0" borderId="6" xfId="1" applyFont="1" applyBorder="1" applyAlignment="1">
      <alignment vertical="center" wrapText="1"/>
    </xf>
    <xf numFmtId="0" fontId="6" fillId="0" borderId="0" xfId="1" applyFont="1" applyAlignment="1">
      <alignment vertical="center"/>
    </xf>
    <xf numFmtId="0" fontId="14" fillId="0" borderId="0" xfId="1" applyFont="1"/>
    <xf numFmtId="0" fontId="14" fillId="0" borderId="4" xfId="1" applyFont="1" applyBorder="1"/>
    <xf numFmtId="0" fontId="14" fillId="0" borderId="6" xfId="1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17" fillId="0" borderId="10" xfId="0" applyFont="1" applyBorder="1" applyAlignment="1">
      <alignment horizontal="center" vertical="center"/>
    </xf>
    <xf numFmtId="0" fontId="17" fillId="0" borderId="10" xfId="0" applyFont="1" applyBorder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" borderId="1" xfId="0" applyFill="1" applyBorder="1"/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1" xfId="0" applyFill="1" applyBorder="1" applyAlignment="1">
      <alignment wrapText="1"/>
    </xf>
    <xf numFmtId="0" fontId="0" fillId="5" borderId="0" xfId="0" applyFill="1" applyAlignment="1">
      <alignment wrapText="1"/>
    </xf>
    <xf numFmtId="0" fontId="0" fillId="4" borderId="1" xfId="0" applyFill="1" applyBorder="1" applyAlignment="1">
      <alignment wrapText="1"/>
    </xf>
    <xf numFmtId="0" fontId="0" fillId="6" borderId="0" xfId="0" applyFill="1" applyAlignment="1">
      <alignment wrapText="1"/>
    </xf>
    <xf numFmtId="0" fontId="0" fillId="4" borderId="1" xfId="0" applyFill="1" applyBorder="1"/>
    <xf numFmtId="14" fontId="0" fillId="0" borderId="0" xfId="0" applyNumberFormat="1"/>
    <xf numFmtId="0" fontId="20" fillId="5" borderId="1" xfId="0" applyFont="1" applyFill="1" applyBorder="1" applyAlignment="1">
      <alignment horizontal="center" wrapText="1"/>
    </xf>
    <xf numFmtId="0" fontId="5" fillId="0" borderId="1" xfId="0" applyFont="1" applyBorder="1"/>
    <xf numFmtId="0" fontId="20" fillId="6" borderId="1" xfId="0" applyFont="1" applyFill="1" applyBorder="1" applyAlignment="1">
      <alignment horizontal="center" wrapText="1"/>
    </xf>
    <xf numFmtId="0" fontId="20" fillId="6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 wrapText="1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0" fillId="8" borderId="0" xfId="0" applyFill="1"/>
    <xf numFmtId="0" fontId="0" fillId="9" borderId="0" xfId="0" applyFill="1"/>
    <xf numFmtId="0" fontId="14" fillId="0" borderId="0" xfId="1" applyFont="1" applyAlignment="1">
      <alignment vertical="center"/>
    </xf>
    <xf numFmtId="0" fontId="14" fillId="0" borderId="6" xfId="1" applyFont="1" applyFill="1" applyBorder="1" applyAlignment="1">
      <alignment vertical="center"/>
    </xf>
    <xf numFmtId="0" fontId="6" fillId="0" borderId="0" xfId="1" applyFont="1" applyBorder="1"/>
    <xf numFmtId="0" fontId="6" fillId="0" borderId="0" xfId="1" applyFont="1" applyFill="1"/>
    <xf numFmtId="0" fontId="12" fillId="0" borderId="0" xfId="1" applyFont="1" applyFill="1"/>
    <xf numFmtId="164" fontId="20" fillId="11" borderId="1" xfId="0" applyNumberFormat="1" applyFont="1" applyFill="1" applyBorder="1" applyAlignment="1">
      <alignment horizontal="center" wrapText="1"/>
    </xf>
    <xf numFmtId="0" fontId="14" fillId="0" borderId="6" xfId="1" applyFont="1" applyBorder="1" applyAlignment="1">
      <alignment vertical="center" wrapText="1"/>
    </xf>
    <xf numFmtId="0" fontId="14" fillId="0" borderId="6" xfId="1" applyFont="1" applyFill="1" applyBorder="1" applyAlignment="1">
      <alignment vertical="center"/>
    </xf>
    <xf numFmtId="0" fontId="14" fillId="0" borderId="6" xfId="1" applyFont="1" applyFill="1" applyBorder="1" applyAlignment="1">
      <alignment vertical="center" wrapText="1"/>
    </xf>
    <xf numFmtId="0" fontId="14" fillId="0" borderId="6" xfId="1" applyFont="1" applyBorder="1" applyAlignment="1">
      <alignment vertical="center" wrapText="1"/>
    </xf>
    <xf numFmtId="0" fontId="14" fillId="0" borderId="6" xfId="1" applyFont="1" applyFill="1" applyBorder="1" applyAlignment="1">
      <alignment vertical="center" wrapText="1"/>
    </xf>
    <xf numFmtId="0" fontId="20" fillId="7" borderId="1" xfId="2" applyFont="1" applyFill="1" applyBorder="1" applyAlignment="1">
      <alignment horizontal="center" wrapText="1"/>
    </xf>
    <xf numFmtId="0" fontId="14" fillId="0" borderId="4" xfId="1" applyFont="1" applyBorder="1" applyAlignment="1">
      <alignment vertical="center" wrapText="1"/>
    </xf>
    <xf numFmtId="0" fontId="14" fillId="0" borderId="4" xfId="1" applyFont="1" applyFill="1" applyBorder="1" applyAlignment="1">
      <alignment vertical="center"/>
    </xf>
    <xf numFmtId="0" fontId="14" fillId="0" borderId="4" xfId="1" applyFont="1" applyFill="1" applyBorder="1" applyAlignment="1">
      <alignment vertical="center" wrapText="1"/>
    </xf>
    <xf numFmtId="0" fontId="20" fillId="5" borderId="1" xfId="7" applyFont="1" applyFill="1" applyBorder="1" applyAlignment="1">
      <alignment horizont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20" fillId="6" borderId="4" xfId="0" applyFont="1" applyFill="1" applyBorder="1" applyAlignment="1">
      <alignment horizontal="center" wrapText="1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4" fillId="0" borderId="0" xfId="1" applyFont="1" applyAlignment="1">
      <alignment vertical="center" wrapText="1"/>
    </xf>
    <xf numFmtId="0" fontId="24" fillId="0" borderId="0" xfId="1" applyFont="1" applyAlignment="1">
      <alignment vertical="center"/>
    </xf>
    <xf numFmtId="0" fontId="14" fillId="12" borderId="6" xfId="1" applyFont="1" applyFill="1" applyBorder="1" applyAlignment="1">
      <alignment vertical="center"/>
    </xf>
    <xf numFmtId="0" fontId="14" fillId="12" borderId="4" xfId="1" applyFont="1" applyFill="1" applyBorder="1" applyAlignment="1">
      <alignment horizontal="left" vertical="center"/>
    </xf>
    <xf numFmtId="0" fontId="14" fillId="12" borderId="4" xfId="1" applyFont="1" applyFill="1" applyBorder="1" applyAlignment="1">
      <alignment vertical="center"/>
    </xf>
    <xf numFmtId="0" fontId="14" fillId="0" borderId="4" xfId="1" applyFont="1" applyFill="1" applyBorder="1" applyAlignment="1"/>
    <xf numFmtId="0" fontId="6" fillId="0" borderId="6" xfId="1" applyFont="1" applyBorder="1"/>
    <xf numFmtId="0" fontId="14" fillId="0" borderId="6" xfId="1" applyFont="1" applyFill="1" applyBorder="1" applyAlignment="1"/>
    <xf numFmtId="0" fontId="14" fillId="0" borderId="6" xfId="1" applyFont="1" applyBorder="1" applyAlignment="1">
      <alignment horizont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22" fillId="2" borderId="1" xfId="4" applyFill="1" applyBorder="1" applyAlignment="1">
      <alignment horizontal="center" vertical="center" wrapText="1"/>
    </xf>
    <xf numFmtId="0" fontId="22" fillId="0" borderId="1" xfId="4" applyBorder="1" applyAlignment="1">
      <alignment horizontal="center" vertical="center" wrapText="1"/>
    </xf>
    <xf numFmtId="0" fontId="22" fillId="2" borderId="7" xfId="4" applyFill="1" applyBorder="1" applyAlignment="1">
      <alignment horizontal="center" vertical="center" wrapText="1"/>
    </xf>
    <xf numFmtId="0" fontId="22" fillId="0" borderId="7" xfId="4" applyBorder="1" applyAlignment="1">
      <alignment horizontal="center" vertical="center" wrapText="1"/>
    </xf>
    <xf numFmtId="0" fontId="6" fillId="0" borderId="4" xfId="1" applyFont="1" applyFill="1" applyBorder="1"/>
    <xf numFmtId="0" fontId="14" fillId="0" borderId="4" xfId="1" applyFont="1" applyBorder="1" applyAlignment="1">
      <alignment horizontal="center" vertical="center" wrapText="1"/>
    </xf>
    <xf numFmtId="0" fontId="14" fillId="0" borderId="6" xfId="1" applyFont="1" applyFill="1" applyBorder="1"/>
    <xf numFmtId="0" fontId="19" fillId="7" borderId="1" xfId="0" applyFont="1" applyFill="1" applyBorder="1" applyAlignment="1">
      <alignment horizontal="center"/>
    </xf>
    <xf numFmtId="0" fontId="20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wrapText="1"/>
    </xf>
    <xf numFmtId="49" fontId="20" fillId="7" borderId="1" xfId="0" applyNumberFormat="1" applyFont="1" applyFill="1" applyBorder="1" applyAlignment="1">
      <alignment horizontal="center" wrapText="1"/>
    </xf>
    <xf numFmtId="0" fontId="14" fillId="0" borderId="4" xfId="1" applyFont="1" applyFill="1" applyBorder="1" applyAlignment="1">
      <alignment horizontal="left" vertical="center"/>
    </xf>
    <xf numFmtId="0" fontId="17" fillId="0" borderId="10" xfId="0" applyFont="1" applyBorder="1" applyAlignment="1">
      <alignment horizontal="center"/>
    </xf>
    <xf numFmtId="0" fontId="0" fillId="2" borderId="7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8" fillId="0" borderId="7" xfId="0" applyFont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18" fillId="0" borderId="7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9" xfId="0" applyFont="1" applyBorder="1" applyAlignment="1">
      <alignment horizontal="center" wrapText="1"/>
    </xf>
    <xf numFmtId="0" fontId="14" fillId="0" borderId="6" xfId="1" applyFont="1" applyBorder="1" applyAlignment="1">
      <alignment horizont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4" fillId="0" borderId="6" xfId="1" applyFont="1" applyBorder="1" applyAlignment="1">
      <alignment horizontal="center" vertical="center" wrapText="1"/>
    </xf>
    <xf numFmtId="0" fontId="6" fillId="0" borderId="0" xfId="1" applyFont="1" applyAlignment="1">
      <alignment horizontal="left" wrapText="1"/>
    </xf>
    <xf numFmtId="0" fontId="6" fillId="0" borderId="0" xfId="1" applyFont="1" applyAlignment="1">
      <alignment horizontal="left" vertical="center" wrapText="1"/>
    </xf>
    <xf numFmtId="14" fontId="14" fillId="0" borderId="6" xfId="1" applyNumberFormat="1" applyFont="1" applyBorder="1" applyAlignment="1">
      <alignment horizontal="center"/>
    </xf>
    <xf numFmtId="0" fontId="15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7" fillId="0" borderId="8" xfId="1" applyFont="1" applyBorder="1" applyAlignment="1">
      <alignment horizontal="center" vertical="top" wrapText="1"/>
    </xf>
    <xf numFmtId="0" fontId="14" fillId="12" borderId="6" xfId="1" applyFont="1" applyFill="1" applyBorder="1" applyAlignment="1">
      <alignment horizontal="center" vertical="center" wrapText="1"/>
    </xf>
    <xf numFmtId="0" fontId="14" fillId="0" borderId="6" xfId="1" applyFont="1" applyFill="1" applyBorder="1" applyAlignment="1">
      <alignment horizontal="left" vertical="center" wrapText="1"/>
    </xf>
    <xf numFmtId="0" fontId="14" fillId="0" borderId="6" xfId="1" applyFont="1" applyFill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/>
    </xf>
    <xf numFmtId="0" fontId="14" fillId="0" borderId="6" xfId="1" applyFont="1" applyBorder="1" applyAlignment="1">
      <alignment horizontal="left"/>
    </xf>
    <xf numFmtId="14" fontId="14" fillId="0" borderId="4" xfId="1" applyNumberFormat="1" applyFont="1" applyBorder="1" applyAlignment="1">
      <alignment horizontal="center"/>
    </xf>
    <xf numFmtId="0" fontId="13" fillId="0" borderId="0" xfId="1" applyFont="1" applyAlignment="1">
      <alignment horizontal="center" vertical="center"/>
    </xf>
    <xf numFmtId="0" fontId="14" fillId="0" borderId="4" xfId="1" applyFont="1" applyFill="1" applyBorder="1" applyAlignment="1">
      <alignment horizontal="left"/>
    </xf>
    <xf numFmtId="0" fontId="14" fillId="0" borderId="6" xfId="1" applyFont="1" applyBorder="1" applyAlignment="1">
      <alignment horizontal="left" vertical="center"/>
    </xf>
    <xf numFmtId="0" fontId="14" fillId="12" borderId="6" xfId="1" applyFont="1" applyFill="1" applyBorder="1" applyAlignment="1">
      <alignment horizontal="left" vertical="center"/>
    </xf>
    <xf numFmtId="0" fontId="14" fillId="0" borderId="4" xfId="1" applyFont="1" applyBorder="1" applyAlignment="1">
      <alignment horizontal="left"/>
    </xf>
    <xf numFmtId="0" fontId="14" fillId="0" borderId="6" xfId="1" applyFont="1" applyFill="1" applyBorder="1" applyAlignment="1">
      <alignment horizontal="left" vertical="center"/>
    </xf>
    <xf numFmtId="0" fontId="14" fillId="0" borderId="6" xfId="1" applyFont="1" applyFill="1" applyBorder="1" applyAlignment="1">
      <alignment horizontal="center" vertical="center"/>
    </xf>
    <xf numFmtId="0" fontId="7" fillId="0" borderId="0" xfId="1" applyFont="1" applyFill="1" applyAlignment="1">
      <alignment horizontal="center" vertical="center" wrapText="1"/>
    </xf>
    <xf numFmtId="0" fontId="7" fillId="0" borderId="0" xfId="1" applyFont="1" applyFill="1" applyAlignment="1">
      <alignment horizontal="center" vertical="center"/>
    </xf>
    <xf numFmtId="0" fontId="14" fillId="0" borderId="6" xfId="1" applyFont="1" applyFill="1" applyBorder="1" applyAlignment="1">
      <alignment horizontal="center"/>
    </xf>
    <xf numFmtId="0" fontId="7" fillId="0" borderId="8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center" vertical="center" wrapText="1"/>
    </xf>
    <xf numFmtId="0" fontId="14" fillId="10" borderId="6" xfId="1" applyFont="1" applyFill="1" applyBorder="1" applyAlignment="1">
      <alignment horizontal="left" vertical="center"/>
    </xf>
    <xf numFmtId="0" fontId="14" fillId="12" borderId="6" xfId="1" applyFont="1" applyFill="1" applyBorder="1" applyAlignment="1">
      <alignment horizontal="center"/>
    </xf>
    <xf numFmtId="0" fontId="14" fillId="12" borderId="6" xfId="1" applyFont="1" applyFill="1" applyBorder="1" applyAlignment="1">
      <alignment horizontal="left" vertical="center" wrapText="1"/>
    </xf>
    <xf numFmtId="0" fontId="15" fillId="12" borderId="6" xfId="1" applyFont="1" applyFill="1" applyBorder="1" applyAlignment="1">
      <alignment horizontal="center" vertical="center"/>
    </xf>
    <xf numFmtId="0" fontId="14" fillId="0" borderId="6" xfId="1" applyFont="1" applyBorder="1" applyAlignment="1">
      <alignment horizontal="left" vertical="center" wrapText="1"/>
    </xf>
  </cellXfs>
  <cellStyles count="9">
    <cellStyle name="Денежный 2" xfId="3" xr:uid="{D3076896-71B1-4C8E-8457-0FB5A0FC3300}"/>
    <cellStyle name="Денежный 3" xfId="8" xr:uid="{DD5B82CB-A55E-4829-A8E9-ECAB24D94339}"/>
    <cellStyle name="Обычный" xfId="0" builtinId="0"/>
    <cellStyle name="Обычный 2" xfId="4" xr:uid="{17B6180C-5EB4-4F01-82BB-2E576856F43B}"/>
    <cellStyle name="Обычный 3" xfId="5" xr:uid="{BF0B0CC7-D1A0-44FC-BE7A-5FBB23357ED6}"/>
    <cellStyle name="Обычный 4" xfId="6" xr:uid="{325954F7-BC43-4CC7-AA2B-B5D1AF37A648}"/>
    <cellStyle name="Обычный 5" xfId="2" xr:uid="{B085BD46-22AB-4290-AC9F-751A0055253E}"/>
    <cellStyle name="Обычный 6" xfId="7" xr:uid="{32E51C30-7068-41BD-AF44-FC89A985F5B5}"/>
    <cellStyle name="Обычный_Пример акта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7270-3B95-49DB-A853-54C8F4DC6BF8}">
  <dimension ref="A1:E10"/>
  <sheetViews>
    <sheetView workbookViewId="0">
      <selection activeCell="E8" sqref="E8"/>
    </sheetView>
  </sheetViews>
  <sheetFormatPr defaultRowHeight="13.2" x14ac:dyDescent="0.25"/>
  <cols>
    <col min="1" max="1" width="18.33203125" customWidth="1"/>
    <col min="2" max="2" width="22.44140625" customWidth="1"/>
    <col min="3" max="3" width="55.6640625" customWidth="1"/>
    <col min="4" max="4" width="27.77734375" customWidth="1"/>
  </cols>
  <sheetData>
    <row r="1" spans="1:5" x14ac:dyDescent="0.25">
      <c r="A1" s="62" t="s">
        <v>153</v>
      </c>
    </row>
    <row r="2" spans="1:5" x14ac:dyDescent="0.25">
      <c r="A2" s="63" t="s">
        <v>154</v>
      </c>
      <c r="B2" s="63" t="s">
        <v>96</v>
      </c>
    </row>
    <row r="3" spans="1:5" x14ac:dyDescent="0.25">
      <c r="A3" t="s">
        <v>155</v>
      </c>
      <c r="B3" t="s">
        <v>94</v>
      </c>
      <c r="C3" t="s">
        <v>189</v>
      </c>
      <c r="D3" t="s">
        <v>192</v>
      </c>
      <c r="E3" t="s">
        <v>98</v>
      </c>
    </row>
    <row r="4" spans="1:5" x14ac:dyDescent="0.25">
      <c r="A4" t="s">
        <v>156</v>
      </c>
      <c r="B4" t="s">
        <v>95</v>
      </c>
      <c r="C4" t="s">
        <v>190</v>
      </c>
      <c r="D4" t="s">
        <v>193</v>
      </c>
      <c r="E4" t="s">
        <v>92</v>
      </c>
    </row>
    <row r="5" spans="1:5" x14ac:dyDescent="0.25">
      <c r="A5" t="s">
        <v>157</v>
      </c>
      <c r="B5" t="s">
        <v>162</v>
      </c>
      <c r="E5" s="3" t="s">
        <v>196</v>
      </c>
    </row>
    <row r="6" spans="1:5" x14ac:dyDescent="0.25">
      <c r="B6" t="s">
        <v>158</v>
      </c>
      <c r="E6" s="3" t="s">
        <v>82</v>
      </c>
    </row>
    <row r="7" spans="1:5" x14ac:dyDescent="0.25">
      <c r="B7" t="s">
        <v>159</v>
      </c>
      <c r="E7" s="3" t="s">
        <v>195</v>
      </c>
    </row>
    <row r="8" spans="1:5" x14ac:dyDescent="0.25">
      <c r="B8" t="s">
        <v>160</v>
      </c>
    </row>
    <row r="9" spans="1:5" x14ac:dyDescent="0.25">
      <c r="B9" t="s">
        <v>161</v>
      </c>
    </row>
    <row r="10" spans="1:5" x14ac:dyDescent="0.25">
      <c r="B10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7EA9F-FAB7-4E01-8720-EA0EB7CAD746}">
  <dimension ref="A1:I29"/>
  <sheetViews>
    <sheetView topLeftCell="D1" workbookViewId="0">
      <selection activeCell="I10" sqref="I10"/>
    </sheetView>
  </sheetViews>
  <sheetFormatPr defaultRowHeight="13.2" x14ac:dyDescent="0.25"/>
  <cols>
    <col min="1" max="1" width="21.77734375" customWidth="1"/>
    <col min="2" max="2" width="33" customWidth="1"/>
    <col min="3" max="3" width="42.6640625" customWidth="1"/>
    <col min="4" max="6" width="40.6640625" customWidth="1"/>
    <col min="7" max="8" width="42.77734375" customWidth="1"/>
    <col min="9" max="9" width="42.109375" customWidth="1"/>
  </cols>
  <sheetData>
    <row r="1" spans="1:9" ht="14.4" x14ac:dyDescent="0.3">
      <c r="A1" s="35" t="s">
        <v>104</v>
      </c>
      <c r="B1" s="35"/>
      <c r="C1" s="36" t="s">
        <v>105</v>
      </c>
      <c r="D1" s="36" t="s">
        <v>106</v>
      </c>
      <c r="E1" s="36" t="s">
        <v>107</v>
      </c>
      <c r="F1" s="37"/>
      <c r="G1" s="115" t="s">
        <v>108</v>
      </c>
      <c r="H1" s="115"/>
      <c r="I1" s="115"/>
    </row>
    <row r="2" spans="1:9" ht="26.4" x14ac:dyDescent="0.25">
      <c r="A2" s="38" t="s">
        <v>109</v>
      </c>
      <c r="B2" s="38"/>
      <c r="C2" s="39" t="s">
        <v>110</v>
      </c>
      <c r="D2" s="39" t="s">
        <v>111</v>
      </c>
      <c r="E2" s="80" t="s">
        <v>173</v>
      </c>
      <c r="F2" s="40"/>
      <c r="G2" s="116" t="s">
        <v>81</v>
      </c>
      <c r="H2" s="117"/>
      <c r="I2" s="118"/>
    </row>
    <row r="3" spans="1:9" ht="63" customHeight="1" x14ac:dyDescent="0.25">
      <c r="A3" s="41" t="s">
        <v>65</v>
      </c>
      <c r="B3" s="41"/>
      <c r="C3" s="42" t="s">
        <v>112</v>
      </c>
      <c r="D3" s="42" t="s">
        <v>113</v>
      </c>
      <c r="E3" s="81" t="s">
        <v>174</v>
      </c>
      <c r="F3" s="43"/>
      <c r="G3" s="119" t="s">
        <v>114</v>
      </c>
      <c r="H3" s="120"/>
      <c r="I3" s="121"/>
    </row>
    <row r="4" spans="1:9" x14ac:dyDescent="0.25">
      <c r="A4" s="38" t="s">
        <v>115</v>
      </c>
      <c r="B4" s="38"/>
      <c r="C4" s="39"/>
      <c r="D4" s="39"/>
      <c r="E4" s="39"/>
      <c r="F4" s="39"/>
      <c r="G4" s="39" t="s">
        <v>116</v>
      </c>
      <c r="H4" s="39"/>
      <c r="I4" s="39" t="s">
        <v>117</v>
      </c>
    </row>
    <row r="5" spans="1:9" x14ac:dyDescent="0.25">
      <c r="A5" s="41"/>
      <c r="B5" s="41"/>
      <c r="C5" s="42"/>
      <c r="D5" s="42"/>
      <c r="E5" s="42"/>
      <c r="F5" s="42"/>
      <c r="G5" s="42" t="s">
        <v>118</v>
      </c>
      <c r="H5" s="42"/>
      <c r="I5" s="42" t="s">
        <v>119</v>
      </c>
    </row>
    <row r="6" spans="1:9" x14ac:dyDescent="0.25">
      <c r="A6" s="38" t="s">
        <v>120</v>
      </c>
      <c r="B6" s="38"/>
      <c r="C6" s="39" t="s">
        <v>121</v>
      </c>
      <c r="D6" s="39" t="s">
        <v>122</v>
      </c>
      <c r="E6" s="39" t="s">
        <v>122</v>
      </c>
      <c r="F6" s="39"/>
      <c r="G6" s="39" t="s">
        <v>123</v>
      </c>
      <c r="H6" s="39"/>
      <c r="I6" s="39" t="s">
        <v>124</v>
      </c>
    </row>
    <row r="7" spans="1:9" x14ac:dyDescent="0.25">
      <c r="A7" s="41" t="s">
        <v>125</v>
      </c>
      <c r="B7" s="41"/>
      <c r="C7" s="42" t="s">
        <v>126</v>
      </c>
      <c r="D7" s="42" t="s">
        <v>127</v>
      </c>
      <c r="E7" s="42" t="s">
        <v>175</v>
      </c>
      <c r="F7" s="42"/>
      <c r="G7" s="42" t="s">
        <v>73</v>
      </c>
      <c r="H7" s="42"/>
      <c r="I7" s="42"/>
    </row>
    <row r="8" spans="1:9" x14ac:dyDescent="0.25">
      <c r="A8" s="38" t="s">
        <v>128</v>
      </c>
      <c r="B8" s="39" t="s">
        <v>99</v>
      </c>
      <c r="C8" s="39" t="s">
        <v>99</v>
      </c>
      <c r="D8" s="39" t="s">
        <v>129</v>
      </c>
      <c r="E8" s="39" t="s">
        <v>129</v>
      </c>
      <c r="F8" s="39"/>
      <c r="G8" s="103" t="s">
        <v>130</v>
      </c>
      <c r="H8" s="105" t="s">
        <v>130</v>
      </c>
      <c r="I8" s="39" t="s">
        <v>130</v>
      </c>
    </row>
    <row r="9" spans="1:9" ht="26.4" x14ac:dyDescent="0.25">
      <c r="A9" s="41" t="s">
        <v>131</v>
      </c>
      <c r="B9" s="42" t="s">
        <v>172</v>
      </c>
      <c r="C9" s="42" t="s">
        <v>101</v>
      </c>
      <c r="D9" s="42" t="s">
        <v>132</v>
      </c>
      <c r="E9" s="42" t="s">
        <v>176</v>
      </c>
      <c r="F9" s="42"/>
      <c r="G9" s="104" t="s">
        <v>201</v>
      </c>
      <c r="H9" s="106" t="s">
        <v>187</v>
      </c>
      <c r="I9" s="104" t="s">
        <v>201</v>
      </c>
    </row>
    <row r="10" spans="1:9" x14ac:dyDescent="0.25">
      <c r="A10" s="38" t="s">
        <v>133</v>
      </c>
      <c r="B10" s="39" t="s">
        <v>171</v>
      </c>
      <c r="C10" s="39" t="s">
        <v>100</v>
      </c>
      <c r="D10" s="39" t="s">
        <v>134</v>
      </c>
      <c r="E10" s="39" t="s">
        <v>177</v>
      </c>
      <c r="F10" s="39"/>
      <c r="G10" s="103" t="s">
        <v>186</v>
      </c>
      <c r="H10" s="105" t="s">
        <v>188</v>
      </c>
      <c r="I10" s="103" t="s">
        <v>186</v>
      </c>
    </row>
    <row r="11" spans="1:9" x14ac:dyDescent="0.25">
      <c r="A11" s="41" t="s">
        <v>135</v>
      </c>
      <c r="B11" s="41"/>
      <c r="C11" s="42"/>
      <c r="D11" s="42"/>
      <c r="E11" s="42"/>
      <c r="F11" s="42"/>
      <c r="G11" s="42" t="s">
        <v>185</v>
      </c>
      <c r="H11" s="42"/>
      <c r="I11" s="42" t="s">
        <v>74</v>
      </c>
    </row>
    <row r="12" spans="1:9" x14ac:dyDescent="0.25">
      <c r="A12" s="38" t="s">
        <v>136</v>
      </c>
      <c r="B12" s="38"/>
      <c r="C12" s="39"/>
      <c r="D12" s="39"/>
      <c r="E12" s="39"/>
      <c r="F12" s="39"/>
      <c r="G12" s="39" t="s">
        <v>184</v>
      </c>
      <c r="H12" s="39"/>
      <c r="I12" s="39" t="s">
        <v>74</v>
      </c>
    </row>
    <row r="13" spans="1:9" x14ac:dyDescent="0.25">
      <c r="A13" s="38"/>
      <c r="B13" s="38"/>
      <c r="C13" s="39"/>
      <c r="D13" s="39"/>
      <c r="E13" s="39"/>
      <c r="F13" s="39"/>
      <c r="G13" s="39"/>
      <c r="H13" s="39"/>
      <c r="I13" s="39"/>
    </row>
    <row r="14" spans="1:9" x14ac:dyDescent="0.25">
      <c r="A14" s="41"/>
      <c r="B14" s="41"/>
      <c r="C14" s="42"/>
      <c r="D14" s="42"/>
      <c r="E14" s="42"/>
      <c r="F14" s="42"/>
      <c r="G14" s="42"/>
      <c r="H14" s="42"/>
      <c r="I14" s="42"/>
    </row>
    <row r="15" spans="1:9" x14ac:dyDescent="0.25">
      <c r="A15" s="38"/>
      <c r="B15" s="38"/>
      <c r="C15" s="39"/>
      <c r="D15" s="39"/>
      <c r="E15" s="39"/>
      <c r="F15" s="39"/>
      <c r="G15" s="39"/>
      <c r="H15" s="39"/>
      <c r="I15" s="39"/>
    </row>
    <row r="16" spans="1:9" x14ac:dyDescent="0.25">
      <c r="A16" s="41"/>
      <c r="B16" s="41"/>
      <c r="C16" s="42"/>
      <c r="D16" s="42"/>
      <c r="E16" s="42"/>
      <c r="F16" s="42"/>
      <c r="G16" s="42"/>
      <c r="H16" s="42"/>
      <c r="I16" s="42"/>
    </row>
    <row r="17" spans="1:9" x14ac:dyDescent="0.25">
      <c r="A17" s="38"/>
      <c r="B17" s="38"/>
      <c r="C17" s="39"/>
      <c r="D17" s="39"/>
      <c r="E17" s="39"/>
      <c r="F17" s="39"/>
      <c r="G17" s="39"/>
      <c r="H17" s="39"/>
      <c r="I17" s="39"/>
    </row>
    <row r="18" spans="1:9" x14ac:dyDescent="0.25">
      <c r="A18" s="41" t="s">
        <v>69</v>
      </c>
      <c r="B18" s="41"/>
      <c r="C18" s="42" t="s">
        <v>69</v>
      </c>
      <c r="D18" s="42" t="s">
        <v>138</v>
      </c>
      <c r="E18" s="42" t="s">
        <v>178</v>
      </c>
      <c r="F18" s="42"/>
      <c r="G18" s="42"/>
      <c r="H18" s="42"/>
      <c r="I18" s="42"/>
    </row>
    <row r="19" spans="1:9" x14ac:dyDescent="0.25">
      <c r="A19" s="38" t="s">
        <v>139</v>
      </c>
      <c r="B19" s="38"/>
      <c r="C19" s="42" t="s">
        <v>102</v>
      </c>
      <c r="D19" s="42" t="s">
        <v>140</v>
      </c>
      <c r="E19" s="42" t="s">
        <v>179</v>
      </c>
      <c r="F19" s="39"/>
      <c r="G19" s="39"/>
      <c r="H19" s="39"/>
      <c r="I19" s="39"/>
    </row>
    <row r="20" spans="1:9" x14ac:dyDescent="0.25">
      <c r="A20" s="41" t="s">
        <v>141</v>
      </c>
      <c r="B20" s="41"/>
      <c r="C20" s="42" t="s">
        <v>71</v>
      </c>
      <c r="D20" s="42" t="s">
        <v>142</v>
      </c>
      <c r="E20" s="42" t="s">
        <v>180</v>
      </c>
      <c r="F20" s="42"/>
      <c r="G20" s="42"/>
      <c r="H20" s="42"/>
      <c r="I20" s="42"/>
    </row>
    <row r="21" spans="1:9" x14ac:dyDescent="0.25">
      <c r="A21" s="44"/>
      <c r="B21" s="44"/>
      <c r="C21" s="39"/>
      <c r="D21" s="39"/>
      <c r="E21" s="39"/>
      <c r="F21" s="39"/>
      <c r="G21" s="39"/>
      <c r="H21" s="39"/>
      <c r="I21" s="39"/>
    </row>
    <row r="23" spans="1:9" ht="79.5" customHeight="1" x14ac:dyDescent="0.25">
      <c r="A23" s="45" t="s">
        <v>143</v>
      </c>
      <c r="B23" s="45"/>
      <c r="C23" s="46" t="str">
        <f>CONCATENATE(C2,",",C3)</f>
        <v xml:space="preserve">ОГРН 1135044003709  ИНН 5044089069 КПП 504401001,141508, Московская область, г.о. Солнечногорск, г. Солнечногорск, ул. Промышленная, стр. 5, помещение 179
</v>
      </c>
      <c r="D23" s="46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3" s="47"/>
      <c r="G23" s="48" t="str">
        <f>CONCATENATE(G8," ",G1,"-",G10," .",G9)</f>
        <v>Гл. специалист ССК УКС ПАО "Россети Московский регион"-Алексанян Г.Р. .Приказ №1904 от 03 июня 2026г (НРС С-50-069023)</v>
      </c>
      <c r="H23" s="48" t="str">
        <f>CONCATENATE(H8," ",G1,"-",H10,".",H9)</f>
        <v>Гл. специалист ССК УКС ПАО "Россети Московский регион"-Шатковский А.Н..Приказ №53 от 13 марта 2025г. (НРС С-50-77-262451)</v>
      </c>
      <c r="I23" s="48" t="str">
        <f>CONCATENATE(I8," ",G1,"-",I10," .",I9)</f>
        <v>Гл. специалист ССК УКС ПАО "Россети Московский регион"-Алексанян Г.Р. .Приказ №1904 от 03 июня 2026г (НРС С-50-069023)</v>
      </c>
    </row>
    <row r="24" spans="1:9" ht="79.2" x14ac:dyDescent="0.25">
      <c r="A24" s="45" t="s">
        <v>143</v>
      </c>
      <c r="B24" s="45"/>
      <c r="C24" s="46" t="str">
        <f>CONCATENATE(C1,",",C2,",",C3)</f>
        <v xml:space="preserve">ООО"Энергосистемы",ОГРН 1135044003709  ИНН 5044089069 КПП 504401001,141508, Московская область, г.о. Солнечногорск, г. Солнечногорск, ул. Промышленная, стр. 5, помещение 179
</v>
      </c>
      <c r="D24" s="46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4" s="47"/>
      <c r="G24" s="48" t="str">
        <f>CONCATENATE(G8," ",G1,"-",G10)</f>
        <v>Гл. специалист ССК УКС ПАО "Россети Московский регион"-Алексанян Г.Р.</v>
      </c>
      <c r="H24" s="48" t="str">
        <f>CONCATENATE(H8," ",G1,"-",H10)</f>
        <v>Гл. специалист ССК УКС ПАО "Россети Московский регион"-Шатковский А.Н.</v>
      </c>
      <c r="I24" s="48" t="str">
        <f>CONCATENATE(I8," ",G1,"-",I10)</f>
        <v>Гл. специалист ССК УКС ПАО "Россети Московский регион"-Алексанян Г.Р.</v>
      </c>
    </row>
    <row r="25" spans="1:9" ht="52.8" x14ac:dyDescent="0.25">
      <c r="C25" s="49" t="str">
        <f>CONCATENATE(C8," ",C1,"-",C10,".",C9)</f>
        <v>Инженер по строительному контролю ООО"Энергосистемы"-Капитонов Д.А..Приказ № 18-ОТ/24 от 03 июня 2024 (НОСТРОЙ С-50-188017)</v>
      </c>
      <c r="D25" s="49" t="str">
        <f>CONCATENATE(D8," ",D1,"-",D10,".",D9)</f>
        <v>Специалист по строительному контролю ООО «Гефест»-Саженова Л.В..Приказ №01/24-ОТ от 15.01.2024 (НРС № С-61-104369)</v>
      </c>
      <c r="E25" s="50"/>
      <c r="G25" s="48" t="str">
        <f>CONCATENATE(G8," ",G1)</f>
        <v>Гл. специалист ССК УКС ПАО "Россети Московский регион"</v>
      </c>
      <c r="H25" s="48" t="str">
        <f>CONCATENATE(H8," ",G1)</f>
        <v>Гл. специалист ССК УКС ПАО "Россети Московский регион"</v>
      </c>
      <c r="I25" s="48" t="str">
        <f>CONCATENATE(I8," ",G1)</f>
        <v>Гл. специалист ССК УКС ПАО "Россети Московский регион"</v>
      </c>
    </row>
    <row r="26" spans="1:9" ht="26.4" x14ac:dyDescent="0.25">
      <c r="C26" s="49" t="str">
        <f>CONCATENATE(C8," ",C1)</f>
        <v>Инженер по строительному контролю ООО"Энергосистемы"</v>
      </c>
      <c r="D26" s="49" t="str">
        <f>CONCATENATE(D8," ",D1)</f>
        <v>Специалист по строительному контролю ООО «Гефест»</v>
      </c>
      <c r="E26" s="50"/>
      <c r="G26" s="45" t="str">
        <f>CONCATENATE(G6," ",G1," ",G7)</f>
        <v>Начальник СРЭС СЭС филиала ПАО "Россети Московский регион" Чуев А.Н.</v>
      </c>
      <c r="H26" s="45"/>
      <c r="I26" s="45" t="str">
        <f>CONCATENATE(I6," ",G1," ",I7)</f>
        <v xml:space="preserve">Начальник ХРЭС СЭС филиала ПАО "Россети Московский регион" </v>
      </c>
    </row>
    <row r="27" spans="1:9" ht="39.6" x14ac:dyDescent="0.25">
      <c r="C27" s="51" t="str">
        <f>CONCATENATE(C18," ",C1,"-",C20,".",C19)</f>
        <v>Прораб ООО"Энергосистемы"-Волков М.Ю..Приказ №05-ОТ/24 от 09 января 2024г</v>
      </c>
      <c r="D27" s="51" t="str">
        <f>CONCATENATE(D18," ",D1,"-",D20,".",D19)</f>
        <v>Мастер электромонтажного участка  ООО «Гефест»-Красилов К.А..Приказ №01/24-ОТ от 15.01.2024</v>
      </c>
      <c r="E27" s="48"/>
      <c r="G27" s="52" t="str">
        <f>CONCATENATE(G14," ",G1," ",G15)</f>
        <v xml:space="preserve"> ПАО "Россети Московский регион" </v>
      </c>
      <c r="H27" s="52"/>
      <c r="I27" s="52" t="str">
        <f>CONCATENATE(I14," ",G1," ",I15)</f>
        <v xml:space="preserve"> ПАО "Россети Московский регион" </v>
      </c>
    </row>
    <row r="28" spans="1:9" ht="26.4" x14ac:dyDescent="0.25">
      <c r="C28" s="51" t="str">
        <f>CONCATENATE(C18," ",C1," ",C20)</f>
        <v>Прораб ООО"Энергосистемы" Волков М.Ю.</v>
      </c>
      <c r="D28" s="51" t="str">
        <f>CONCATENATE(D18," ",D1,"-",D20)</f>
        <v>Мастер электромонтажного участка  ООО «Гефест»-Красилов К.А.</v>
      </c>
      <c r="E28" s="48"/>
      <c r="G28" s="45" t="str">
        <f>CONCATENATE(G16," ",G1," ",G17)</f>
        <v xml:space="preserve"> ПАО "Россети Московский регион" </v>
      </c>
      <c r="H28" s="45"/>
    </row>
    <row r="29" spans="1:9" ht="26.4" x14ac:dyDescent="0.25">
      <c r="C29" s="53" t="str">
        <f>CONCATENATE(C18," ",C1)</f>
        <v>Прораб ООО"Энергосистемы"</v>
      </c>
      <c r="D29" s="51" t="str">
        <f>CONCATENATE(D18," ",D1)</f>
        <v>Мастер электромонтажного участка  ООО «Гефест»</v>
      </c>
      <c r="E29" s="48"/>
    </row>
  </sheetData>
  <mergeCells count="3">
    <mergeCell ref="G1:I1"/>
    <mergeCell ref="G2:I2"/>
    <mergeCell ref="G3:I3"/>
  </mergeCells>
  <dataValidations count="1">
    <dataValidation type="list" allowBlank="1" showInputMessage="1" showErrorMessage="1" sqref="E15" xr:uid="{1C310508-15B1-4B94-9262-C897989042FF}">
      <formula1>$G$9:$I$9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36A3-00B8-4E91-9752-C065AB31A304}">
  <sheetPr>
    <tabColor rgb="FFFF0000"/>
  </sheetPr>
  <dimension ref="A1:AK77"/>
  <sheetViews>
    <sheetView zoomScale="85" zoomScaleNormal="85" workbookViewId="0">
      <selection activeCell="B49" sqref="B49"/>
    </sheetView>
  </sheetViews>
  <sheetFormatPr defaultRowHeight="13.2" x14ac:dyDescent="0.25"/>
  <cols>
    <col min="1" max="1" width="35" style="90" customWidth="1"/>
    <col min="2" max="2" width="136.109375" customWidth="1"/>
    <col min="3" max="3" width="54.44140625" customWidth="1"/>
    <col min="5" max="5" width="12" customWidth="1"/>
    <col min="6" max="6" width="6.77734375" customWidth="1"/>
    <col min="8" max="8" width="38.77734375" customWidth="1"/>
    <col min="9" max="9" width="26.44140625" customWidth="1"/>
    <col min="10" max="10" width="5.44140625" customWidth="1"/>
    <col min="13" max="13" width="66.6640625" customWidth="1"/>
  </cols>
  <sheetData>
    <row r="1" spans="1:3" ht="13.8" x14ac:dyDescent="0.25">
      <c r="A1" s="122" t="s">
        <v>144</v>
      </c>
      <c r="B1" s="123"/>
    </row>
    <row r="2" spans="1:3" ht="13.8" x14ac:dyDescent="0.25">
      <c r="A2" s="85" t="s">
        <v>145</v>
      </c>
      <c r="B2" s="110" t="s">
        <v>202</v>
      </c>
    </row>
    <row r="3" spans="1:3" ht="27.6" x14ac:dyDescent="0.25">
      <c r="A3" s="86" t="s">
        <v>62</v>
      </c>
      <c r="B3" s="111" t="s">
        <v>203</v>
      </c>
    </row>
    <row r="4" spans="1:3" ht="13.8" x14ac:dyDescent="0.25">
      <c r="A4" s="87" t="s">
        <v>146</v>
      </c>
      <c r="B4" s="75" t="s">
        <v>117</v>
      </c>
    </row>
    <row r="5" spans="1:3" ht="13.8" x14ac:dyDescent="0.25">
      <c r="A5" s="87" t="s">
        <v>64</v>
      </c>
      <c r="B5" s="112" t="s">
        <v>204</v>
      </c>
    </row>
    <row r="6" spans="1:3" ht="13.8" x14ac:dyDescent="0.25">
      <c r="A6" s="87" t="s">
        <v>147</v>
      </c>
      <c r="B6" s="113" t="s">
        <v>205</v>
      </c>
    </row>
    <row r="7" spans="1:3" ht="13.8" x14ac:dyDescent="0.25">
      <c r="A7" s="87" t="s">
        <v>148</v>
      </c>
      <c r="B7" s="113" t="s">
        <v>206</v>
      </c>
      <c r="C7" s="54"/>
    </row>
    <row r="8" spans="1:3" ht="13.8" x14ac:dyDescent="0.25">
      <c r="A8" s="122" t="s">
        <v>149</v>
      </c>
      <c r="B8" s="123"/>
    </row>
    <row r="9" spans="1:3" ht="13.8" x14ac:dyDescent="0.25">
      <c r="A9" s="88" t="s">
        <v>153</v>
      </c>
      <c r="B9" s="69" t="s">
        <v>207</v>
      </c>
    </row>
    <row r="10" spans="1:3" ht="13.8" x14ac:dyDescent="0.25">
      <c r="A10" s="122" t="s">
        <v>66</v>
      </c>
      <c r="B10" s="123"/>
    </row>
    <row r="11" spans="1:3" ht="13.8" x14ac:dyDescent="0.25">
      <c r="A11" s="87" t="s">
        <v>67</v>
      </c>
      <c r="B11" s="55" t="s">
        <v>105</v>
      </c>
      <c r="C11" s="2" t="str">
        <f>CONCATENATE(B11," ",B12," ",B13)</f>
        <v xml:space="preserve">ООО"Энергосистемы" ОГРН 1135044003709  ИНН 5044089069 КПП 504401001 141508, Московская область, г.о. Солнечногорск, г. Солнечногорск, ул. Промышленная, стр. 5, помещение 179
</v>
      </c>
    </row>
    <row r="12" spans="1:3" ht="13.8" x14ac:dyDescent="0.25">
      <c r="A12" s="87" t="s">
        <v>150</v>
      </c>
      <c r="B12" s="55" t="s">
        <v>110</v>
      </c>
      <c r="C12" s="2"/>
    </row>
    <row r="13" spans="1:3" ht="27.6" x14ac:dyDescent="0.25">
      <c r="A13" s="87" t="s">
        <v>65</v>
      </c>
      <c r="B13" s="55" t="s">
        <v>112</v>
      </c>
      <c r="C13" s="2"/>
    </row>
    <row r="14" spans="1:3" ht="13.8" hidden="1" x14ac:dyDescent="0.25">
      <c r="A14" s="87" t="s">
        <v>68</v>
      </c>
      <c r="B14" s="55" t="s">
        <v>122</v>
      </c>
      <c r="C14" s="2"/>
    </row>
    <row r="15" spans="1:3" ht="13.8" hidden="1" x14ac:dyDescent="0.25">
      <c r="A15" s="87" t="s">
        <v>151</v>
      </c>
      <c r="B15" s="55" t="s">
        <v>127</v>
      </c>
      <c r="C15" s="2" t="str">
        <f>CONCATENATE(B14," ",B11," ",B15)</f>
        <v xml:space="preserve">Генеральный директор ООО"Энергосистемы" Звездов Р.Е. </v>
      </c>
    </row>
    <row r="16" spans="1:3" ht="13.8" x14ac:dyDescent="0.25">
      <c r="A16" s="87" t="s">
        <v>68</v>
      </c>
      <c r="B16" s="55" t="s">
        <v>99</v>
      </c>
      <c r="C16" s="2" t="str">
        <f>CONCATENATE(B16," ",B11)</f>
        <v>Инженер по строительному контролю ООО"Энергосистемы"</v>
      </c>
    </row>
    <row r="17" spans="1:3" ht="13.8" x14ac:dyDescent="0.25">
      <c r="A17" s="87" t="s">
        <v>70</v>
      </c>
      <c r="B17" s="79" t="s">
        <v>171</v>
      </c>
      <c r="C17" s="56" t="str">
        <f>CONCATENATE(B16," ",B11," ",B17)</f>
        <v>Инженер по строительному контролю ООО"Энергосистемы" Русин В.А.</v>
      </c>
    </row>
    <row r="18" spans="1:3" ht="13.8" x14ac:dyDescent="0.25">
      <c r="A18" s="87" t="s">
        <v>152</v>
      </c>
      <c r="B18" s="79" t="s">
        <v>172</v>
      </c>
      <c r="C18" s="56" t="str">
        <f>CONCATENATE(B16," ",B11," ",B17,".",B18)</f>
        <v>Инженер по строительному контролю ООО"Энергосистемы" Русин В.А..Приказ № 13-ОТ/25 от 05 мая 2025 (НОСТРОЙ С-50-085497)</v>
      </c>
    </row>
    <row r="19" spans="1:3" ht="13.8" x14ac:dyDescent="0.25">
      <c r="A19" s="87" t="s">
        <v>68</v>
      </c>
      <c r="B19" s="55" t="s">
        <v>69</v>
      </c>
      <c r="C19" s="2" t="str">
        <f>CONCATENATE(B19," ",B11)</f>
        <v>Прораб ООО"Энергосистемы"</v>
      </c>
    </row>
    <row r="20" spans="1:3" ht="13.8" x14ac:dyDescent="0.25">
      <c r="A20" s="87" t="s">
        <v>70</v>
      </c>
      <c r="B20" s="55" t="s">
        <v>71</v>
      </c>
      <c r="C20" s="56" t="str">
        <f>CONCATENATE(B19," ",B11," ",B20)</f>
        <v>Прораб ООО"Энергосистемы" Волков М.Ю.</v>
      </c>
    </row>
    <row r="21" spans="1:3" ht="13.8" x14ac:dyDescent="0.25">
      <c r="A21" s="89" t="s">
        <v>152</v>
      </c>
      <c r="B21" s="55" t="s">
        <v>102</v>
      </c>
      <c r="C21" s="56" t="str">
        <f>CONCATENATE(B19," ",B11," ",B20,".",B21)</f>
        <v>Прораб ООО"Энергосистемы" Волков М.Ю..Приказ №05-ОТ/24 от 09 января 2024г</v>
      </c>
    </row>
    <row r="22" spans="1:3" ht="13.8" x14ac:dyDescent="0.25">
      <c r="A22" s="124" t="s">
        <v>72</v>
      </c>
      <c r="B22" s="125"/>
    </row>
    <row r="23" spans="1:3" ht="13.8" x14ac:dyDescent="0.25">
      <c r="A23" s="89" t="s">
        <v>67</v>
      </c>
      <c r="B23" s="57" t="s">
        <v>108</v>
      </c>
      <c r="C23" t="str">
        <f>CONCATENATE(B23," ",B24,",",B25)</f>
        <v>ПАО "Россети Московский регион" ОГРН 1057746555811 ИНН 5036065113 КПП 772501001,115114, город Москва, проезд Павелецкий 2-й, дом 3, строение 2</v>
      </c>
    </row>
    <row r="24" spans="1:3" ht="13.8" x14ac:dyDescent="0.25">
      <c r="A24" s="89" t="s">
        <v>150</v>
      </c>
      <c r="B24" s="57" t="str">
        <f>'Данные организации'!G2</f>
        <v>ОГРН 1057746555811 ИНН 5036065113 КПП 772501001</v>
      </c>
    </row>
    <row r="25" spans="1:3" ht="13.8" x14ac:dyDescent="0.25">
      <c r="A25" s="89" t="s">
        <v>65</v>
      </c>
      <c r="B25" s="57" t="str">
        <f>'Данные организации'!G3</f>
        <v>115114, город Москва, проезд Павелецкий 2-й, дом 3, строение 2</v>
      </c>
    </row>
    <row r="26" spans="1:3" ht="13.8" hidden="1" x14ac:dyDescent="0.25">
      <c r="A26" s="89" t="s">
        <v>68</v>
      </c>
      <c r="B26" s="58" t="s">
        <v>123</v>
      </c>
      <c r="C26" t="str">
        <f>CONCATENATE(B26," ",B23)</f>
        <v>Начальник СРЭС СЭС филиала ПАО "Россети Московский регион"</v>
      </c>
    </row>
    <row r="27" spans="1:3" ht="13.8" hidden="1" x14ac:dyDescent="0.25">
      <c r="A27" s="89" t="s">
        <v>70</v>
      </c>
      <c r="B27" s="57" t="s">
        <v>73</v>
      </c>
      <c r="C27" t="str">
        <f>CONCATENATE(B26," ",B23," ",B27)</f>
        <v>Начальник СРЭС СЭС филиала ПАО "Россети Московский регион" Чуев А.Н.</v>
      </c>
    </row>
    <row r="28" spans="1:3" ht="13.8" hidden="1" x14ac:dyDescent="0.25">
      <c r="A28" s="89" t="s">
        <v>68</v>
      </c>
      <c r="B28" s="57" t="s">
        <v>137</v>
      </c>
      <c r="C28" t="str">
        <f>CONCATENATE(B28," ",B23)</f>
        <v>Гл. спец. сектора по льготным договорам тп ПАО "Россети Московский регион"</v>
      </c>
    </row>
    <row r="29" spans="1:3" ht="13.8" hidden="1" x14ac:dyDescent="0.25">
      <c r="A29" s="89" t="s">
        <v>70</v>
      </c>
      <c r="B29" s="57" t="s">
        <v>75</v>
      </c>
      <c r="C29" t="str">
        <f>CONCATENATE(B28," ",B23," ",B29)</f>
        <v>Гл. спец. сектора по льготным договорам тп ПАО "Россети Московский регион" Ефремкин Е.И.</v>
      </c>
    </row>
    <row r="30" spans="1:3" ht="13.8" hidden="1" x14ac:dyDescent="0.25">
      <c r="A30" s="89" t="s">
        <v>68</v>
      </c>
      <c r="B30" s="57" t="s">
        <v>76</v>
      </c>
      <c r="C30" t="str">
        <f>CONCATENATE(B30," ",B23)</f>
        <v>Гл. специалист ПТГ ПАО "Россети Московский регион"</v>
      </c>
    </row>
    <row r="31" spans="1:3" ht="13.8" hidden="1" x14ac:dyDescent="0.25">
      <c r="A31" s="89" t="s">
        <v>70</v>
      </c>
      <c r="B31" s="57" t="s">
        <v>77</v>
      </c>
      <c r="C31" t="str">
        <f>CONCATENATE(B30," ",B23," ",B31)</f>
        <v>Гл. специалист ПТГ ПАО "Россети Московский регион" Царькова Н.К.</v>
      </c>
    </row>
    <row r="32" spans="1:3" ht="13.8" x14ac:dyDescent="0.25">
      <c r="A32" s="89" t="s">
        <v>68</v>
      </c>
      <c r="B32" s="57" t="s">
        <v>130</v>
      </c>
      <c r="C32" t="str">
        <f>CONCATENATE(B32," ",B23)</f>
        <v>Гл. специалист ССК УКС ПАО "Россети Московский регион"</v>
      </c>
    </row>
    <row r="33" spans="1:31" ht="13.8" x14ac:dyDescent="0.25">
      <c r="A33" s="89" t="s">
        <v>70</v>
      </c>
      <c r="B33" s="57" t="s">
        <v>186</v>
      </c>
      <c r="C33" s="3" t="str">
        <f>CONCATENATE(B32," ",B23," ",B33)</f>
        <v>Гл. специалист ССК УКС ПАО "Россети Московский регион" Алексанян Г.Р.</v>
      </c>
    </row>
    <row r="34" spans="1:31" ht="13.8" x14ac:dyDescent="0.25">
      <c r="A34" s="89" t="s">
        <v>152</v>
      </c>
      <c r="B34" s="57" t="s">
        <v>201</v>
      </c>
      <c r="C34" t="str">
        <f>CONCATENATE(B32," ",B23," ",B33," ",B34)</f>
        <v>Гл. специалист ССК УКС ПАО "Россети Московский регион" Алексанян Г.Р. Приказ №1904 от 03 июня 2026г (НРС С-50-069023)</v>
      </c>
    </row>
    <row r="35" spans="1:31" ht="13.8" x14ac:dyDescent="0.25">
      <c r="A35" s="89" t="s">
        <v>68</v>
      </c>
      <c r="B35" s="84"/>
      <c r="C35" t="str">
        <f>CONCATENATE(B35," ",B23)</f>
        <v xml:space="preserve"> ПАО "Россети Московский регион"</v>
      </c>
    </row>
    <row r="36" spans="1:31" ht="13.8" x14ac:dyDescent="0.25">
      <c r="A36" s="89" t="s">
        <v>70</v>
      </c>
      <c r="B36" s="84"/>
      <c r="C36" s="3" t="str">
        <f>CONCATENATE(B35," ",B23," ",B36)</f>
        <v xml:space="preserve"> ПАО "Россети Московский регион" </v>
      </c>
    </row>
    <row r="37" spans="1:31" ht="13.8" x14ac:dyDescent="0.25">
      <c r="A37" s="89" t="s">
        <v>152</v>
      </c>
      <c r="B37" s="84"/>
      <c r="C37" t="str">
        <f>CONCATENATE(B35," ",B23," ",B36,", ",B37)</f>
        <v xml:space="preserve"> ПАО "Россети Московский регион" , </v>
      </c>
    </row>
    <row r="38" spans="1:31" ht="13.8" x14ac:dyDescent="0.25">
      <c r="A38" s="122" t="s">
        <v>78</v>
      </c>
      <c r="B38" s="126"/>
    </row>
    <row r="39" spans="1:31" ht="13.8" x14ac:dyDescent="0.25">
      <c r="A39" s="86" t="s">
        <v>67</v>
      </c>
      <c r="B39" s="59" t="s">
        <v>105</v>
      </c>
    </row>
    <row r="40" spans="1:31" ht="13.8" x14ac:dyDescent="0.25">
      <c r="A40" s="87" t="s">
        <v>150</v>
      </c>
      <c r="B40" s="59" t="s">
        <v>110</v>
      </c>
    </row>
    <row r="41" spans="1:31" ht="27.6" x14ac:dyDescent="0.25">
      <c r="A41" s="87" t="s">
        <v>65</v>
      </c>
      <c r="B41" s="59" t="s">
        <v>112</v>
      </c>
    </row>
    <row r="42" spans="1:31" ht="13.8" x14ac:dyDescent="0.25">
      <c r="A42" s="86" t="s">
        <v>63</v>
      </c>
      <c r="B42" s="59" t="s">
        <v>79</v>
      </c>
    </row>
    <row r="43" spans="1:31" ht="13.8" x14ac:dyDescent="0.25">
      <c r="A43" s="86" t="s">
        <v>18</v>
      </c>
      <c r="B43" s="59" t="s">
        <v>208</v>
      </c>
    </row>
    <row r="44" spans="1:31" ht="27.6" x14ac:dyDescent="0.25">
      <c r="A44" s="86" t="s">
        <v>80</v>
      </c>
      <c r="B44" s="59" t="str">
        <f>B3</f>
        <v>Строительство ТП - 6/0,4кВ, ВЛЗ-6 кВ от ВЛЗ-6кВ ф. ЦРП-48 - ТП-326 ПС №387 "Подрезково", ВЛИ-0,38 кВ, рлр, ВРЩ-0,4 кВ, в т.ч. ПИР, МО, Химкинский р-н, г. Химки</v>
      </c>
    </row>
    <row r="47" spans="1:31" x14ac:dyDescent="0.25">
      <c r="C47" s="60"/>
      <c r="D47" s="60"/>
      <c r="E47" s="60"/>
      <c r="F47" s="60"/>
      <c r="G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</row>
    <row r="48" spans="1:31" x14ac:dyDescent="0.25">
      <c r="C48" s="60"/>
      <c r="D48" s="60"/>
      <c r="E48" s="60"/>
      <c r="F48" s="60"/>
      <c r="G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</row>
    <row r="49" spans="3:37" x14ac:dyDescent="0.25">
      <c r="C49" s="60"/>
      <c r="D49" s="60"/>
      <c r="E49" s="60"/>
      <c r="F49" s="60"/>
      <c r="G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</row>
    <row r="50" spans="3:37" x14ac:dyDescent="0.25">
      <c r="C50" s="60"/>
      <c r="D50" s="60"/>
      <c r="E50" s="60"/>
      <c r="F50" s="60"/>
      <c r="G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</row>
    <row r="51" spans="3:37" x14ac:dyDescent="0.25">
      <c r="C51" s="60"/>
      <c r="D51" s="60"/>
      <c r="E51" s="60"/>
      <c r="F51" s="60"/>
      <c r="G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</row>
    <row r="52" spans="3:37" x14ac:dyDescent="0.25">
      <c r="C52" s="60"/>
      <c r="D52" s="60"/>
      <c r="E52" s="60"/>
      <c r="F52" s="60"/>
      <c r="G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</row>
    <row r="53" spans="3:37" x14ac:dyDescent="0.25">
      <c r="C53" s="60"/>
      <c r="D53" s="60"/>
      <c r="E53" s="60"/>
      <c r="F53" s="60"/>
      <c r="G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</row>
    <row r="54" spans="3:37" x14ac:dyDescent="0.25">
      <c r="C54" s="60"/>
      <c r="D54" s="60"/>
      <c r="E54" s="60"/>
      <c r="F54" s="60"/>
      <c r="G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</row>
    <row r="58" spans="3:37" ht="14.4" customHeight="1" x14ac:dyDescent="0.25"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</row>
    <row r="59" spans="3:37" ht="14.4" customHeight="1" x14ac:dyDescent="0.25"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</row>
    <row r="60" spans="3:37" x14ac:dyDescent="0.25"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</row>
    <row r="61" spans="3:37" x14ac:dyDescent="0.25"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</row>
    <row r="62" spans="3:37" x14ac:dyDescent="0.25"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</row>
    <row r="63" spans="3:37" x14ac:dyDescent="0.25"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</row>
    <row r="64" spans="3:37" x14ac:dyDescent="0.25"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</row>
    <row r="65" spans="2:37" x14ac:dyDescent="0.25"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</row>
    <row r="66" spans="2:37" x14ac:dyDescent="0.25"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</row>
    <row r="67" spans="2:37" x14ac:dyDescent="0.25"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</row>
    <row r="68" spans="2:37" x14ac:dyDescent="0.25"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</row>
    <row r="69" spans="2:37" x14ac:dyDescent="0.25"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</row>
    <row r="70" spans="2:37" x14ac:dyDescent="0.25"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</row>
    <row r="71" spans="2:37" x14ac:dyDescent="0.25"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</row>
    <row r="72" spans="2:37" ht="14.4" customHeight="1" x14ac:dyDescent="0.25"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</row>
    <row r="77" spans="2:37" ht="16.2" customHeight="1" x14ac:dyDescent="0.25">
      <c r="B77" s="45"/>
    </row>
  </sheetData>
  <mergeCells count="5">
    <mergeCell ref="A1:B1"/>
    <mergeCell ref="A8:B8"/>
    <mergeCell ref="A10:B10"/>
    <mergeCell ref="A22:B22"/>
    <mergeCell ref="A38:B38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AC5BB53A-6E70-4FAF-8DA4-CB091FD77805}">
          <x14:formula1>
            <xm:f>'Данные организации'!$G$10:$I$10</xm:f>
          </x14:formula1>
          <xm:sqref>B33</xm:sqref>
        </x14:dataValidation>
        <x14:dataValidation type="list" allowBlank="1" showInputMessage="1" showErrorMessage="1" xr:uid="{EA4A0285-C8F1-44EE-871E-B1835C599D89}">
          <x14:formula1>
            <xm:f>'Данные организации'!$G$8:$I$8</xm:f>
          </x14:formula1>
          <xm:sqref>B32</xm:sqref>
        </x14:dataValidation>
        <x14:dataValidation type="list" allowBlank="1" showInputMessage="1" showErrorMessage="1" xr:uid="{12D9DAFA-227E-429D-B7F2-744CE0EF764B}">
          <x14:formula1>
            <xm:f>'Данные организации'!$C$19:$E$19</xm:f>
          </x14:formula1>
          <xm:sqref>B21</xm:sqref>
        </x14:dataValidation>
        <x14:dataValidation type="list" allowBlank="1" showInputMessage="1" showErrorMessage="1" xr:uid="{C3BEE1EC-82E4-4EDF-920B-89EEDAC1FE81}">
          <x14:formula1>
            <xm:f>'Данные организации'!$C$20:$E$20</xm:f>
          </x14:formula1>
          <xm:sqref>B20</xm:sqref>
        </x14:dataValidation>
        <x14:dataValidation type="list" allowBlank="1" showInputMessage="1" showErrorMessage="1" xr:uid="{ED661FA0-BBED-4F66-97CB-054372CA7858}">
          <x14:formula1>
            <xm:f>'Данные организации'!$C$18:$E$18</xm:f>
          </x14:formula1>
          <xm:sqref>B19</xm:sqref>
        </x14:dataValidation>
        <x14:dataValidation type="list" allowBlank="1" showInputMessage="1" showErrorMessage="1" xr:uid="{904819DB-41E0-4960-BCF3-B39A2D8D9F58}">
          <x14:formula1>
            <xm:f>'Данные организации'!$B$9:$E$9</xm:f>
          </x14:formula1>
          <xm:sqref>B18</xm:sqref>
        </x14:dataValidation>
        <x14:dataValidation type="list" allowBlank="1" showInputMessage="1" showErrorMessage="1" xr:uid="{59D122BB-1901-4D78-B70E-F9C166CC0AC7}">
          <x14:formula1>
            <xm:f>'Данные организации'!$B$10:$E$10</xm:f>
          </x14:formula1>
          <xm:sqref>B17</xm:sqref>
        </x14:dataValidation>
        <x14:dataValidation type="list" allowBlank="1" showInputMessage="1" showErrorMessage="1" xr:uid="{C7962E89-8FAF-47D5-9285-2E36AE98F13A}">
          <x14:formula1>
            <xm:f>'Данные организации'!$B$8:$E$8</xm:f>
          </x14:formula1>
          <xm:sqref>B16</xm:sqref>
        </x14:dataValidation>
        <x14:dataValidation type="list" allowBlank="1" showInputMessage="1" showErrorMessage="1" xr:uid="{B72120D3-7C06-440F-A614-C16130DDF758}">
          <x14:formula1>
            <xm:f>'Данные организации'!$C$3:$E$3</xm:f>
          </x14:formula1>
          <xm:sqref>B41 B13</xm:sqref>
        </x14:dataValidation>
        <x14:dataValidation type="list" allowBlank="1" showInputMessage="1" showErrorMessage="1" xr:uid="{5FF326AD-FCC4-41D7-B4E7-8874AB540CF7}">
          <x14:formula1>
            <xm:f>'Данные организации'!$C$2:$E$2</xm:f>
          </x14:formula1>
          <xm:sqref>B40 B12</xm:sqref>
        </x14:dataValidation>
        <x14:dataValidation type="list" allowBlank="1" showInputMessage="1" showErrorMessage="1" xr:uid="{DFAF6342-6F8D-4D2C-806A-0E5232FDA7C1}">
          <x14:formula1>
            <xm:f>'Данные организации'!$C$1:$E$1</xm:f>
          </x14:formula1>
          <xm:sqref>B39 B11</xm:sqref>
        </x14:dataValidation>
        <x14:dataValidation type="list" allowBlank="1" showInputMessage="1" showErrorMessage="1" xr:uid="{62CA9CF1-89E8-4FA0-8CBC-5298864B07B3}">
          <x14:formula1>
            <xm:f>'Данные организации'!$G$4:$I$4</xm:f>
          </x14:formula1>
          <xm:sqref>B4</xm:sqref>
        </x14:dataValidation>
        <x14:dataValidation type="list" allowBlank="1" showInputMessage="1" showErrorMessage="1" xr:uid="{ADDC86D8-0CF2-41FE-9840-440539C813C3}">
          <x14:formula1>
            <xm:f>'Данные организации'!$G$11:$I$11</xm:f>
          </x14:formula1>
          <xm:sqref>B35</xm:sqref>
        </x14:dataValidation>
        <x14:dataValidation type="list" allowBlank="1" showInputMessage="1" showErrorMessage="1" xr:uid="{318B2730-0220-4623-9B22-67FEF966D952}">
          <x14:formula1>
            <xm:f>'Данные организации'!$G$12:$I$12</xm:f>
          </x14:formula1>
          <xm:sqref>B36</xm:sqref>
        </x14:dataValidation>
        <x14:dataValidation type="list" allowBlank="1" showInputMessage="1" showErrorMessage="1" xr:uid="{7531BA27-4D80-4EEF-B7C5-8D4CA691EC27}">
          <x14:formula1>
            <xm:f>'Данные организации'!$G$13:$I$13</xm:f>
          </x14:formula1>
          <xm:sqref>B37</xm:sqref>
        </x14:dataValidation>
        <x14:dataValidation type="list" allowBlank="1" showInputMessage="1" showErrorMessage="1" xr:uid="{C9441C08-CE10-4102-921D-62560E356BC4}">
          <x14:formula1>
            <xm:f>'Данные организации'!$G$9:$I$9</xm:f>
          </x14:formula1>
          <xm:sqref>B34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Z116"/>
  <sheetViews>
    <sheetView view="pageBreakPreview" topLeftCell="A33" zoomScale="125" zoomScaleNormal="125" zoomScaleSheetLayoutView="125" workbookViewId="0">
      <selection activeCell="O62" sqref="O62:Q62"/>
    </sheetView>
  </sheetViews>
  <sheetFormatPr defaultColWidth="10.6640625" defaultRowHeight="13.8" x14ac:dyDescent="0.25"/>
  <cols>
    <col min="1" max="31" width="2.77734375" style="1" customWidth="1"/>
    <col min="32" max="32" width="3" style="1" customWidth="1"/>
    <col min="33" max="51" width="2.7773437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1.5" customHeight="1" x14ac:dyDescent="0.2">
      <c r="A4" s="132" t="str">
        <f>'Данные объект'!B3</f>
        <v>Строительство ТП - 6/0,4кВ, ВЛЗ-6 кВ от ВЛЗ-6кВ ф. ЦРП-48 - ТП-326 ПС №387 "Подрезково", ВЛИ-0,38 кВ, рлр, ВРЩ-0,4 кВ, в т.ч. ПИР, МО, Химкинский р-н, г. Химки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</row>
    <row r="5" spans="1:43" s="13" customFormat="1" ht="12" customHeight="1" x14ac:dyDescent="0.2">
      <c r="A5" s="130" t="str">
        <f>'Данные объект'!B9</f>
        <v>КЛ-0,4кВ ф.1 от КТП №1542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</row>
    <row r="6" spans="1:43" s="14" customFormat="1" ht="7.8" x14ac:dyDescent="0.15">
      <c r="A6" s="128" t="s">
        <v>183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</row>
    <row r="7" spans="1:43" s="13" customFormat="1" ht="12.75" customHeight="1" x14ac:dyDescent="0.2">
      <c r="A7" s="133" t="s">
        <v>42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</row>
    <row r="8" spans="1:43" s="13" customFormat="1" ht="12" customHeight="1" x14ac:dyDescent="0.2">
      <c r="A8" s="130" t="str">
        <f>'Данные объект'!B23</f>
        <v>ПАО "Россети Московский регион"</v>
      </c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</row>
    <row r="9" spans="1:43" s="14" customFormat="1" ht="19.5" customHeight="1" x14ac:dyDescent="0.15">
      <c r="A9" s="128" t="s">
        <v>58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</row>
    <row r="10" spans="1:43" s="13" customFormat="1" ht="12" customHeight="1" x14ac:dyDescent="0.2">
      <c r="A10" s="130" t="str">
        <f>'Данные объект'!B24</f>
        <v>ОГРН 1057746555811 ИНН 5036065113 КПП 772501001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</row>
    <row r="11" spans="1:43" s="14" customFormat="1" ht="28.5" customHeight="1" x14ac:dyDescent="0.15">
      <c r="A11" s="128" t="s">
        <v>59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</row>
    <row r="12" spans="1:43" s="13" customFormat="1" ht="12" customHeight="1" x14ac:dyDescent="0.2">
      <c r="A12" s="130" t="str">
        <f>'Данные объект'!B25</f>
        <v>115114, город Москва, проезд Павелецкий 2-й, дом 3, строение 2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</row>
    <row r="13" spans="1:43" s="14" customFormat="1" ht="11.25" customHeight="1" x14ac:dyDescent="0.15">
      <c r="A13" s="128" t="s">
        <v>43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0" t="str">
        <f>'Данные объект'!B11</f>
        <v>ООО"Энергосистемы"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</row>
    <row r="16" spans="1:43" s="14" customFormat="1" ht="9.75" customHeight="1" x14ac:dyDescent="0.15">
      <c r="A16" s="128" t="s">
        <v>37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</row>
    <row r="17" spans="1:36" s="13" customFormat="1" ht="12" customHeight="1" x14ac:dyDescent="0.2">
      <c r="A17" s="130" t="str">
        <f>'Данные объект'!B12</f>
        <v>ОГРН 1135044003709  ИНН 5044089069 КПП 504401001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</row>
    <row r="18" spans="1:36" s="14" customFormat="1" ht="8.25" customHeight="1" x14ac:dyDescent="0.15">
      <c r="A18" s="128" t="s">
        <v>44</v>
      </c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</row>
    <row r="19" spans="1:36" s="13" customFormat="1" ht="12" customHeight="1" x14ac:dyDescent="0.2">
      <c r="A19" s="130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</row>
    <row r="20" spans="1:36" s="14" customFormat="1" ht="27" customHeight="1" x14ac:dyDescent="0.15">
      <c r="A20" s="128" t="s">
        <v>60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0" t="str">
        <f>'Данные объект'!B39</f>
        <v>ООО"Энергосистемы"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</row>
    <row r="23" spans="1:36" s="14" customFormat="1" ht="7.5" customHeight="1" x14ac:dyDescent="0.15">
      <c r="A23" s="128" t="s">
        <v>37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</row>
    <row r="24" spans="1:36" s="13" customFormat="1" ht="12" customHeight="1" x14ac:dyDescent="0.2">
      <c r="A24" s="130" t="str">
        <f>'Данные объект'!B40</f>
        <v>ОГРН 1135044003709  ИНН 5044089069 КПП 504401001</v>
      </c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</row>
    <row r="25" spans="1:36" s="14" customFormat="1" ht="7.5" customHeight="1" x14ac:dyDescent="0.15">
      <c r="A25" s="128" t="s">
        <v>61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</row>
    <row r="26" spans="1:36" s="13" customFormat="1" ht="12" customHeight="1" x14ac:dyDescent="0.2">
      <c r="A26" s="130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</row>
    <row r="27" spans="1:36" s="14" customFormat="1" ht="22.5" customHeight="1" x14ac:dyDescent="0.15">
      <c r="A27" s="128" t="s">
        <v>45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" customHeight="1" x14ac:dyDescent="0.2">
      <c r="A29" s="131" t="s">
        <v>36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</row>
    <row r="30" spans="1:36" s="13" customFormat="1" ht="12.9" customHeight="1" x14ac:dyDescent="0.2">
      <c r="A30" s="136" t="s">
        <v>19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" customHeight="1" x14ac:dyDescent="0.25">
      <c r="A32" s="24"/>
      <c r="B32" s="24" t="s">
        <v>18</v>
      </c>
      <c r="C32" s="25">
        <v>1</v>
      </c>
      <c r="D32" s="25"/>
      <c r="E32" s="127" t="s">
        <v>209</v>
      </c>
      <c r="F32" s="127"/>
      <c r="G32" s="127"/>
      <c r="H32" s="27"/>
      <c r="I32" s="27"/>
      <c r="J32" s="27"/>
      <c r="X32" s="21"/>
      <c r="Y32" s="32"/>
      <c r="Z32" s="32"/>
      <c r="AB32" s="135" t="str">
        <f>P78</f>
        <v>15.06.2026</v>
      </c>
      <c r="AC32" s="135"/>
      <c r="AD32" s="135"/>
      <c r="AE32" s="135"/>
      <c r="AF32" s="135"/>
      <c r="AG32" s="135"/>
      <c r="AH32" s="135"/>
      <c r="AI32" s="135"/>
      <c r="AJ32" s="13" t="s">
        <v>6</v>
      </c>
    </row>
    <row r="33" spans="1:52" s="14" customFormat="1" ht="9" customHeight="1" x14ac:dyDescent="0.15">
      <c r="Y33" s="15"/>
      <c r="Z33" s="16"/>
      <c r="AA33" s="15"/>
      <c r="AB33" s="137" t="s">
        <v>17</v>
      </c>
      <c r="AC33" s="137"/>
      <c r="AD33" s="137"/>
      <c r="AE33" s="137"/>
      <c r="AF33" s="137"/>
      <c r="AG33" s="137"/>
      <c r="AH33" s="137"/>
      <c r="AI33" s="137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3" t="s">
        <v>46</v>
      </c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</row>
    <row r="36" spans="1:52" s="13" customFormat="1" ht="25.5" customHeight="1" x14ac:dyDescent="0.2">
      <c r="A36" s="132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</row>
    <row r="37" spans="1:52" s="14" customFormat="1" ht="28.5" customHeight="1" x14ac:dyDescent="0.15">
      <c r="A37" s="128" t="s">
        <v>47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52" s="13" customFormat="1" ht="21.75" customHeight="1" x14ac:dyDescent="0.2">
      <c r="A38" s="132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</row>
    <row r="39" spans="1:52" s="14" customFormat="1" ht="25.5" customHeight="1" x14ac:dyDescent="0.2">
      <c r="A39" s="138" t="s">
        <v>48</v>
      </c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0" t="str">
        <f>'Данные объект'!C21</f>
        <v>Прораб ООО"Энергосистемы" Волков М.Ю..Приказ №05-ОТ/24 от 09 января 2024г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</row>
    <row r="42" spans="1:52" s="14" customFormat="1" ht="9" customHeight="1" x14ac:dyDescent="0.15">
      <c r="A42" s="128" t="s">
        <v>26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</row>
    <row r="43" spans="1:52" s="13" customFormat="1" ht="17.25" customHeight="1" x14ac:dyDescent="0.2">
      <c r="A43" s="133" t="s">
        <v>49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</row>
    <row r="44" spans="1:52" s="31" customFormat="1" ht="22.5" customHeight="1" x14ac:dyDescent="0.25">
      <c r="A44" s="132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</row>
    <row r="45" spans="1:52" s="14" customFormat="1" ht="30" customHeight="1" x14ac:dyDescent="0.15">
      <c r="A45" s="128" t="s">
        <v>50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52" s="14" customFormat="1" ht="10.199999999999999" x14ac:dyDescent="0.2">
      <c r="A46" s="133" t="s">
        <v>181</v>
      </c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</row>
    <row r="47" spans="1:52" s="14" customFormat="1" ht="10.8" x14ac:dyDescent="0.15">
      <c r="A47" s="132" t="str">
        <f>'Данные объект'!$C$36</f>
        <v xml:space="preserve"> ПАО "Россети Московский регион" </v>
      </c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</row>
    <row r="48" spans="1:52" s="14" customFormat="1" ht="7.8" x14ac:dyDescent="0.15">
      <c r="A48" s="128" t="s">
        <v>26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6" s="13" customFormat="1" ht="35.25" customHeight="1" x14ac:dyDescent="0.2">
      <c r="A49" s="134" t="s">
        <v>51</v>
      </c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</row>
    <row r="50" spans="1:36" s="31" customFormat="1" ht="12.9" customHeight="1" x14ac:dyDescent="0.25">
      <c r="A50" s="130" t="s">
        <v>74</v>
      </c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</row>
    <row r="51" spans="1:36" s="14" customFormat="1" ht="29.25" customHeight="1" x14ac:dyDescent="0.15">
      <c r="A51" s="128" t="s">
        <v>52</v>
      </c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</row>
    <row r="52" spans="1:36" s="13" customFormat="1" ht="25.5" hidden="1" customHeight="1" x14ac:dyDescent="0.2">
      <c r="A52" s="134" t="s">
        <v>53</v>
      </c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</row>
    <row r="53" spans="1:36" s="13" customFormat="1" ht="12" hidden="1" customHeight="1" x14ac:dyDescent="0.2">
      <c r="A53" s="132" t="e">
        <f>CONCATENATE(#REF!,", ",#REF!," - ",#REF!)</f>
        <v>#REF!</v>
      </c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</row>
    <row r="54" spans="1:36" s="14" customFormat="1" ht="9.75" hidden="1" customHeight="1" x14ac:dyDescent="0.15">
      <c r="A54" s="128" t="s">
        <v>29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6" s="13" customFormat="1" ht="12" hidden="1" customHeight="1" x14ac:dyDescent="0.2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</row>
    <row r="56" spans="1:36" s="14" customFormat="1" ht="16.5" hidden="1" customHeight="1" x14ac:dyDescent="0.15">
      <c r="A56" s="128" t="s">
        <v>54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</row>
    <row r="57" spans="1:36" s="13" customFormat="1" ht="12" customHeight="1" x14ac:dyDescent="0.2">
      <c r="A57" s="13" t="s">
        <v>16</v>
      </c>
    </row>
    <row r="58" spans="1:36" s="13" customFormat="1" ht="12.9" customHeight="1" x14ac:dyDescent="0.25">
      <c r="A58" s="127" t="str">
        <f>'Данные объект'!B11</f>
        <v>ООО"Энергосистемы"</v>
      </c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127"/>
      <c r="AJ58" s="127"/>
    </row>
    <row r="59" spans="1:36" s="14" customFormat="1" ht="10.5" customHeight="1" x14ac:dyDescent="0.15">
      <c r="A59" s="142" t="s">
        <v>38</v>
      </c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" customHeight="1" x14ac:dyDescent="0.2">
      <c r="A62" s="140" t="s">
        <v>164</v>
      </c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39" t="s">
        <v>157</v>
      </c>
      <c r="P62" s="139"/>
      <c r="Q62" s="139"/>
      <c r="R62" s="93"/>
      <c r="S62" s="139">
        <f>60.17+1.93+3.6</f>
        <v>65.7</v>
      </c>
      <c r="T62" s="139"/>
      <c r="U62" s="139" t="s">
        <v>82</v>
      </c>
      <c r="V62" s="139"/>
      <c r="W62" s="141"/>
      <c r="X62" s="141"/>
      <c r="Y62" s="141"/>
      <c r="Z62" s="141"/>
      <c r="AA62" s="141"/>
      <c r="AB62" s="72"/>
      <c r="AC62" s="141"/>
      <c r="AD62" s="141"/>
      <c r="AE62" s="141"/>
      <c r="AF62" s="141"/>
      <c r="AG62" s="141"/>
      <c r="AH62" s="70"/>
      <c r="AI62" s="70"/>
      <c r="AJ62" s="70"/>
    </row>
    <row r="63" spans="1:36" s="14" customFormat="1" ht="8.25" customHeight="1" x14ac:dyDescent="0.15">
      <c r="A63" s="128" t="s">
        <v>14</v>
      </c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</row>
    <row r="64" spans="1:36" s="13" customFormat="1" ht="12" customHeight="1" x14ac:dyDescent="0.2">
      <c r="A64" s="13" t="s">
        <v>13</v>
      </c>
    </row>
    <row r="65" spans="1:36" s="13" customFormat="1" ht="12" customHeight="1" x14ac:dyDescent="0.2">
      <c r="A65" s="132" t="str">
        <f>'Данные объект'!B43</f>
        <v>4708-308092-125-11/24.ЭС</v>
      </c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 spans="1:36" s="14" customFormat="1" ht="15" customHeight="1" x14ac:dyDescent="0.15">
      <c r="A66" s="128" t="s">
        <v>39</v>
      </c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</row>
    <row r="67" spans="1:36" s="13" customFormat="1" ht="12" customHeight="1" x14ac:dyDescent="0.25">
      <c r="A67" s="13" t="s">
        <v>12</v>
      </c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</row>
    <row r="68" spans="1:36" s="18" customFormat="1" ht="7.5" customHeight="1" x14ac:dyDescent="0.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43" t="s">
        <v>55</v>
      </c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</row>
    <row r="69" spans="1:36" s="13" customFormat="1" ht="12" customHeight="1" x14ac:dyDescent="0.2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 spans="1:36" s="14" customFormat="1" ht="18.75" customHeight="1" x14ac:dyDescent="0.15">
      <c r="A70" s="128" t="s">
        <v>56</v>
      </c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5">
      <c r="A72" s="13" t="s">
        <v>10</v>
      </c>
      <c r="G72" s="127" t="s">
        <v>89</v>
      </c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</row>
    <row r="73" spans="1:36" s="14" customFormat="1" ht="7.5" customHeight="1" x14ac:dyDescent="0.15">
      <c r="A73" s="146"/>
      <c r="B73" s="146"/>
      <c r="C73" s="20"/>
      <c r="D73" s="20"/>
      <c r="E73" s="20"/>
      <c r="F73" s="20"/>
      <c r="G73" s="129" t="s">
        <v>9</v>
      </c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</row>
    <row r="74" spans="1:36" s="13" customFormat="1" ht="12" customHeight="1" x14ac:dyDescent="0.25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</row>
    <row r="75" spans="1:36" s="14" customFormat="1" ht="7.5" customHeight="1" x14ac:dyDescent="0.15">
      <c r="A75" s="128" t="s">
        <v>31</v>
      </c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5">
      <c r="A77" s="13" t="s">
        <v>8</v>
      </c>
      <c r="D77" s="28"/>
      <c r="E77" s="28"/>
      <c r="F77" s="28"/>
      <c r="G77" s="28"/>
      <c r="L77" s="21"/>
      <c r="M77" s="32"/>
      <c r="N77" s="32"/>
      <c r="P77" s="135" t="str">
        <f>'Данные объект'!B6</f>
        <v>09.06.2026</v>
      </c>
      <c r="Q77" s="135"/>
      <c r="R77" s="135"/>
      <c r="S77" s="135"/>
      <c r="T77" s="135"/>
      <c r="U77" s="135"/>
      <c r="V77" s="135"/>
      <c r="W77" s="135"/>
      <c r="X77" s="13" t="s">
        <v>6</v>
      </c>
    </row>
    <row r="78" spans="1:36" s="13" customFormat="1" ht="12" customHeight="1" x14ac:dyDescent="0.25">
      <c r="A78" s="13" t="s">
        <v>7</v>
      </c>
      <c r="D78" s="28"/>
      <c r="E78" s="28"/>
      <c r="F78" s="28"/>
      <c r="G78" s="28"/>
      <c r="L78" s="21"/>
      <c r="M78" s="32"/>
      <c r="N78" s="32"/>
      <c r="P78" s="145" t="str">
        <f>'Данные объект'!B7</f>
        <v>15.06.2026</v>
      </c>
      <c r="Q78" s="145"/>
      <c r="R78" s="145"/>
      <c r="S78" s="145"/>
      <c r="T78" s="145"/>
      <c r="U78" s="145"/>
      <c r="V78" s="145"/>
      <c r="W78" s="145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5">
      <c r="A81" s="144" t="s">
        <v>103</v>
      </c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</row>
    <row r="82" spans="1:36" s="14" customFormat="1" ht="8.25" customHeight="1" x14ac:dyDescent="0.15">
      <c r="A82" s="128" t="s">
        <v>4</v>
      </c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</row>
    <row r="83" spans="1:36" s="13" customFormat="1" ht="12" customHeight="1" x14ac:dyDescent="0.25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</row>
    <row r="84" spans="1:36" s="14" customFormat="1" ht="8.25" customHeight="1" x14ac:dyDescent="0.15">
      <c r="A84" s="128" t="s">
        <v>57</v>
      </c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5">
      <c r="A86" s="127" t="s">
        <v>90</v>
      </c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</row>
    <row r="87" spans="1:36" s="14" customFormat="1" ht="9" customHeight="1" x14ac:dyDescent="0.15">
      <c r="A87" s="128" t="s">
        <v>32</v>
      </c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</row>
    <row r="88" spans="1:36" s="13" customFormat="1" ht="12" customHeight="1" x14ac:dyDescent="0.25">
      <c r="A88" s="13" t="s">
        <v>2</v>
      </c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5">
      <c r="A90" s="13" t="s">
        <v>87</v>
      </c>
      <c r="H90" s="127"/>
      <c r="I90" s="127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66" t="s">
        <v>1</v>
      </c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</row>
    <row r="93" spans="1:36" s="13" customFormat="1" ht="12" customHeight="1" x14ac:dyDescent="0.25">
      <c r="A93" s="25" t="s">
        <v>83</v>
      </c>
      <c r="B93" s="127" t="str">
        <f>G72</f>
        <v>Исполнителная схема устройства траншеи</v>
      </c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25"/>
      <c r="P93" s="26" t="s">
        <v>74</v>
      </c>
      <c r="Q93" s="25" t="s">
        <v>84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4" customFormat="1" ht="9.75" customHeight="1" x14ac:dyDescent="0.15">
      <c r="A94" s="128" t="s">
        <v>0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</row>
    <row r="95" spans="1:36" ht="6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</row>
    <row r="96" spans="1:36" s="13" customFormat="1" ht="12" customHeight="1" x14ac:dyDescent="0.2">
      <c r="A96" s="13" t="s">
        <v>23</v>
      </c>
    </row>
    <row r="97" spans="1:36" s="13" customFormat="1" ht="12" customHeight="1" x14ac:dyDescent="0.2">
      <c r="A97" s="13" t="s">
        <v>24</v>
      </c>
    </row>
    <row r="98" spans="1:36" s="13" customFormat="1" ht="12" customHeight="1" x14ac:dyDescent="0.25">
      <c r="A98" s="127" t="str">
        <f>'Данные объект'!B33</f>
        <v>Алексанян Г.Р.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127"/>
      <c r="AC98" s="127"/>
      <c r="AD98" s="127"/>
      <c r="AE98" s="127"/>
      <c r="AF98" s="127"/>
      <c r="AG98" s="127"/>
      <c r="AH98" s="127"/>
      <c r="AI98" s="127"/>
      <c r="AJ98" s="127"/>
    </row>
    <row r="99" spans="1:36" s="14" customFormat="1" ht="9" customHeight="1" x14ac:dyDescent="0.15">
      <c r="A99" s="142" t="s">
        <v>35</v>
      </c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7"/>
      <c r="Q99" s="17"/>
      <c r="R99" s="17"/>
      <c r="S99" s="17"/>
      <c r="T99" s="17"/>
      <c r="U99" s="18"/>
      <c r="V99" s="18"/>
      <c r="W99" s="18"/>
      <c r="X99" s="18"/>
      <c r="Y99" s="18"/>
      <c r="Z99" s="18"/>
      <c r="AA99" s="18"/>
      <c r="AB99" s="143" t="s">
        <v>34</v>
      </c>
      <c r="AC99" s="143"/>
      <c r="AD99" s="143"/>
      <c r="AE99" s="143"/>
      <c r="AF99" s="143"/>
      <c r="AG99" s="143"/>
      <c r="AH99" s="143"/>
      <c r="AI99" s="143"/>
      <c r="AJ99" s="143"/>
    </row>
    <row r="100" spans="1:36" s="13" customFormat="1" ht="12" customHeight="1" x14ac:dyDescent="0.2">
      <c r="A100" s="13" t="s">
        <v>25</v>
      </c>
    </row>
    <row r="101" spans="1:36" s="13" customFormat="1" ht="12" customHeight="1" x14ac:dyDescent="0.25">
      <c r="A101" s="127" t="str">
        <f>'Данные объект'!B20</f>
        <v>Волков М.Ю.</v>
      </c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127"/>
      <c r="AC101" s="127"/>
      <c r="AD101" s="127"/>
      <c r="AE101" s="127"/>
      <c r="AF101" s="127"/>
      <c r="AG101" s="127"/>
      <c r="AH101" s="127"/>
      <c r="AI101" s="127"/>
      <c r="AJ101" s="127"/>
    </row>
    <row r="102" spans="1:36" s="14" customFormat="1" ht="9" customHeight="1" x14ac:dyDescent="0.15">
      <c r="A102" s="142" t="s">
        <v>35</v>
      </c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7"/>
      <c r="Q102" s="17"/>
      <c r="R102" s="17"/>
      <c r="S102" s="17"/>
      <c r="T102" s="17"/>
      <c r="U102" s="18"/>
      <c r="V102" s="18"/>
      <c r="W102" s="18"/>
      <c r="X102" s="18"/>
      <c r="Y102" s="18"/>
      <c r="Z102" s="18"/>
      <c r="AA102" s="18"/>
      <c r="AB102" s="143" t="s">
        <v>34</v>
      </c>
      <c r="AC102" s="143"/>
      <c r="AD102" s="143"/>
      <c r="AE102" s="143"/>
      <c r="AF102" s="143"/>
      <c r="AG102" s="143"/>
      <c r="AH102" s="143"/>
      <c r="AI102" s="143"/>
      <c r="AJ102" s="143"/>
    </row>
    <row r="103" spans="1:36" s="13" customFormat="1" ht="12" customHeight="1" x14ac:dyDescent="0.2">
      <c r="A103" s="13" t="s">
        <v>27</v>
      </c>
    </row>
    <row r="104" spans="1:36" s="13" customFormat="1" ht="12" customHeight="1" x14ac:dyDescent="0.2">
      <c r="A104" s="13" t="s">
        <v>28</v>
      </c>
    </row>
    <row r="105" spans="1:36" s="13" customFormat="1" ht="12" customHeight="1" x14ac:dyDescent="0.25">
      <c r="A105" s="127" t="str">
        <f>'Данные объект'!B17</f>
        <v>Русин В.А.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127"/>
      <c r="AC105" s="127"/>
      <c r="AD105" s="127"/>
      <c r="AE105" s="127"/>
      <c r="AF105" s="127"/>
      <c r="AG105" s="127"/>
      <c r="AH105" s="127"/>
      <c r="AI105" s="127"/>
      <c r="AJ105" s="127"/>
    </row>
    <row r="106" spans="1:36" s="14" customFormat="1" ht="9" customHeight="1" x14ac:dyDescent="0.15">
      <c r="A106" s="142" t="s">
        <v>35</v>
      </c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7"/>
      <c r="Q106" s="17"/>
      <c r="R106" s="17"/>
      <c r="S106" s="17"/>
      <c r="T106" s="17"/>
      <c r="U106" s="18"/>
      <c r="V106" s="18"/>
      <c r="W106" s="18"/>
      <c r="X106" s="18"/>
      <c r="Y106" s="18"/>
      <c r="Z106" s="18"/>
      <c r="AA106" s="18"/>
      <c r="AB106" s="143" t="s">
        <v>34</v>
      </c>
      <c r="AC106" s="143"/>
      <c r="AD106" s="143"/>
      <c r="AE106" s="143"/>
      <c r="AF106" s="143"/>
      <c r="AG106" s="143"/>
      <c r="AH106" s="143"/>
      <c r="AI106" s="143"/>
      <c r="AJ106" s="143"/>
    </row>
    <row r="107" spans="1:36" s="14" customFormat="1" ht="10.199999999999999" x14ac:dyDescent="0.2">
      <c r="A107" s="13" t="s">
        <v>182</v>
      </c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91"/>
      <c r="Q107" s="91"/>
      <c r="R107" s="91"/>
      <c r="S107" s="91"/>
      <c r="T107" s="91"/>
      <c r="U107" s="92"/>
      <c r="V107" s="92"/>
      <c r="W107" s="92"/>
      <c r="X107" s="92"/>
      <c r="Y107" s="92"/>
      <c r="Z107" s="92"/>
      <c r="AA107" s="92"/>
      <c r="AB107" s="83"/>
      <c r="AC107" s="83"/>
      <c r="AD107" s="83"/>
      <c r="AE107" s="83"/>
      <c r="AF107" s="83"/>
      <c r="AG107" s="83"/>
      <c r="AH107" s="83"/>
      <c r="AI107" s="83"/>
      <c r="AJ107" s="83"/>
    </row>
    <row r="108" spans="1:36" s="14" customFormat="1" ht="10.8" x14ac:dyDescent="0.25">
      <c r="A108" s="127">
        <f>'Данные объект'!$B$36</f>
        <v>0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91"/>
      <c r="Q108" s="91"/>
      <c r="R108" s="91"/>
      <c r="S108" s="91"/>
      <c r="T108" s="91"/>
      <c r="U108" s="92"/>
      <c r="V108" s="92"/>
      <c r="W108" s="92"/>
      <c r="X108" s="92"/>
      <c r="Y108" s="92"/>
      <c r="Z108" s="92"/>
      <c r="AA108" s="92"/>
      <c r="AB108" s="127"/>
      <c r="AC108" s="127"/>
      <c r="AD108" s="127"/>
      <c r="AE108" s="127"/>
      <c r="AF108" s="127"/>
      <c r="AG108" s="127"/>
      <c r="AH108" s="127"/>
      <c r="AI108" s="127"/>
      <c r="AJ108" s="127"/>
    </row>
    <row r="109" spans="1:36" s="14" customFormat="1" ht="9" customHeight="1" x14ac:dyDescent="0.15">
      <c r="A109" s="142" t="s">
        <v>35</v>
      </c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91"/>
      <c r="Q109" s="91"/>
      <c r="R109" s="91"/>
      <c r="S109" s="91"/>
      <c r="T109" s="91"/>
      <c r="U109" s="92"/>
      <c r="V109" s="92"/>
      <c r="W109" s="92"/>
      <c r="X109" s="92"/>
      <c r="Y109" s="92"/>
      <c r="Z109" s="92"/>
      <c r="AA109" s="92"/>
      <c r="AB109" s="143" t="s">
        <v>34</v>
      </c>
      <c r="AC109" s="143"/>
      <c r="AD109" s="143"/>
      <c r="AE109" s="143"/>
      <c r="AF109" s="143"/>
      <c r="AG109" s="143"/>
      <c r="AH109" s="143"/>
      <c r="AI109" s="143"/>
      <c r="AJ109" s="143"/>
    </row>
    <row r="110" spans="1:36" s="13" customFormat="1" ht="38.25" customHeight="1" x14ac:dyDescent="0.2">
      <c r="A110" s="134" t="s">
        <v>51</v>
      </c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4"/>
      <c r="AG110" s="134"/>
      <c r="AH110" s="134"/>
      <c r="AI110" s="134"/>
      <c r="AJ110" s="134"/>
    </row>
    <row r="111" spans="1:36" s="13" customFormat="1" ht="12" customHeight="1" x14ac:dyDescent="0.25">
      <c r="A111" s="127" t="s">
        <v>74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127" t="s">
        <v>74</v>
      </c>
      <c r="AC111" s="127"/>
      <c r="AD111" s="127"/>
      <c r="AE111" s="127"/>
      <c r="AF111" s="127"/>
      <c r="AG111" s="127"/>
      <c r="AH111" s="127"/>
      <c r="AI111" s="127"/>
      <c r="AJ111" s="127"/>
    </row>
    <row r="112" spans="1:36" s="14" customFormat="1" ht="9" customHeight="1" x14ac:dyDescent="0.15">
      <c r="A112" s="142" t="s">
        <v>35</v>
      </c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7"/>
      <c r="Q112" s="17"/>
      <c r="R112" s="17"/>
      <c r="S112" s="17"/>
      <c r="T112" s="17"/>
      <c r="U112" s="18"/>
      <c r="V112" s="18"/>
      <c r="W112" s="18"/>
      <c r="X112" s="18"/>
      <c r="Y112" s="18"/>
      <c r="Z112" s="18"/>
      <c r="AA112" s="18"/>
      <c r="AB112" s="143" t="s">
        <v>34</v>
      </c>
      <c r="AC112" s="143"/>
      <c r="AD112" s="143"/>
      <c r="AE112" s="143"/>
      <c r="AF112" s="143"/>
      <c r="AG112" s="143"/>
      <c r="AH112" s="143"/>
      <c r="AI112" s="143"/>
      <c r="AJ112" s="143"/>
    </row>
    <row r="113" spans="1:36" s="13" customFormat="1" ht="24.75" hidden="1" customHeight="1" x14ac:dyDescent="0.2">
      <c r="A113" s="134" t="s">
        <v>53</v>
      </c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4"/>
      <c r="AI113" s="134"/>
      <c r="AJ113" s="134"/>
    </row>
    <row r="114" spans="1:36" s="13" customFormat="1" ht="12" hidden="1" customHeight="1" x14ac:dyDescent="0.25">
      <c r="A114" s="127" t="e">
        <f>#REF!</f>
        <v>#REF!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127"/>
      <c r="AC114" s="127"/>
      <c r="AD114" s="127"/>
      <c r="AE114" s="127"/>
      <c r="AF114" s="127"/>
      <c r="AG114" s="127"/>
      <c r="AH114" s="127"/>
      <c r="AI114" s="127"/>
      <c r="AJ114" s="127"/>
    </row>
    <row r="115" spans="1:36" s="14" customFormat="1" ht="9" hidden="1" customHeight="1" x14ac:dyDescent="0.15">
      <c r="A115" s="142" t="s">
        <v>35</v>
      </c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7"/>
      <c r="Q115" s="17"/>
      <c r="R115" s="17"/>
      <c r="S115" s="17"/>
      <c r="T115" s="17"/>
      <c r="U115" s="18"/>
      <c r="V115" s="18"/>
      <c r="W115" s="18"/>
      <c r="X115" s="18"/>
      <c r="Y115" s="18"/>
      <c r="Z115" s="18"/>
      <c r="AA115" s="18"/>
      <c r="AB115" s="143" t="s">
        <v>34</v>
      </c>
      <c r="AC115" s="143"/>
      <c r="AD115" s="143"/>
      <c r="AE115" s="143"/>
      <c r="AF115" s="143"/>
      <c r="AG115" s="143"/>
      <c r="AH115" s="143"/>
      <c r="AI115" s="143"/>
      <c r="AJ115" s="143"/>
    </row>
    <row r="116" spans="1:36" ht="12" customHeight="1" x14ac:dyDescent="0.25"/>
  </sheetData>
  <mergeCells count="107">
    <mergeCell ref="A7:AJ7"/>
    <mergeCell ref="A46:AJ46"/>
    <mergeCell ref="A47:AJ47"/>
    <mergeCell ref="A48:AJ48"/>
    <mergeCell ref="A108:O108"/>
    <mergeCell ref="AB108:AJ108"/>
    <mergeCell ref="P77:W77"/>
    <mergeCell ref="P78:W78"/>
    <mergeCell ref="A37:AJ37"/>
    <mergeCell ref="P67:AJ67"/>
    <mergeCell ref="A42:AJ42"/>
    <mergeCell ref="A44:AJ44"/>
    <mergeCell ref="A45:AJ45"/>
    <mergeCell ref="A53:AJ53"/>
    <mergeCell ref="A74:AJ74"/>
    <mergeCell ref="A75:AJ75"/>
    <mergeCell ref="A63:AJ63"/>
    <mergeCell ref="A65:AJ65"/>
    <mergeCell ref="A66:AJ66"/>
    <mergeCell ref="A70:AJ70"/>
    <mergeCell ref="A73:B73"/>
    <mergeCell ref="G73:AJ73"/>
    <mergeCell ref="A102:O102"/>
    <mergeCell ref="AB102:AJ102"/>
    <mergeCell ref="A114:O114"/>
    <mergeCell ref="AB114:AJ114"/>
    <mergeCell ref="A115:O115"/>
    <mergeCell ref="AB115:AJ115"/>
    <mergeCell ref="A113:AJ113"/>
    <mergeCell ref="A112:O112"/>
    <mergeCell ref="AB112:AJ112"/>
    <mergeCell ref="A105:O105"/>
    <mergeCell ref="AB105:AJ105"/>
    <mergeCell ref="A106:O106"/>
    <mergeCell ref="AB106:AJ106"/>
    <mergeCell ref="A111:O111"/>
    <mergeCell ref="AB111:AJ111"/>
    <mergeCell ref="A110:AJ110"/>
    <mergeCell ref="A109:O109"/>
    <mergeCell ref="AB109:AJ109"/>
    <mergeCell ref="G72:AJ72"/>
    <mergeCell ref="P68:AJ68"/>
    <mergeCell ref="A69:AJ69"/>
    <mergeCell ref="AB101:AJ101"/>
    <mergeCell ref="AB98:AJ98"/>
    <mergeCell ref="A98:O98"/>
    <mergeCell ref="A81:AJ81"/>
    <mergeCell ref="A101:O101"/>
    <mergeCell ref="A83:AJ83"/>
    <mergeCell ref="H90:I90"/>
    <mergeCell ref="B93:N93"/>
    <mergeCell ref="A87:AJ87"/>
    <mergeCell ref="A84:AJ84"/>
    <mergeCell ref="A99:O99"/>
    <mergeCell ref="AB99:AJ99"/>
    <mergeCell ref="L88:AJ88"/>
    <mergeCell ref="A86:AJ86"/>
    <mergeCell ref="A94:AJ94"/>
    <mergeCell ref="A82:AJ82"/>
    <mergeCell ref="S62:T62"/>
    <mergeCell ref="U62:V62"/>
    <mergeCell ref="A50:AJ50"/>
    <mergeCell ref="A13:AJ13"/>
    <mergeCell ref="A22:AJ22"/>
    <mergeCell ref="A4:AJ4"/>
    <mergeCell ref="A5:AJ5"/>
    <mergeCell ref="A6:AJ6"/>
    <mergeCell ref="A8:AJ8"/>
    <mergeCell ref="A9:AJ9"/>
    <mergeCell ref="A12:AJ12"/>
    <mergeCell ref="A10:AJ10"/>
    <mergeCell ref="A11:AJ11"/>
    <mergeCell ref="A20:AJ20"/>
    <mergeCell ref="A15:AJ15"/>
    <mergeCell ref="A16:AJ16"/>
    <mergeCell ref="A17:AJ17"/>
    <mergeCell ref="A18:AJ18"/>
    <mergeCell ref="A62:N62"/>
    <mergeCell ref="O62:Q62"/>
    <mergeCell ref="W62:AA62"/>
    <mergeCell ref="AC62:AE62"/>
    <mergeCell ref="AF62:AG62"/>
    <mergeCell ref="A59:AJ59"/>
    <mergeCell ref="A58:AJ58"/>
    <mergeCell ref="A51:AJ51"/>
    <mergeCell ref="A56:AJ56"/>
    <mergeCell ref="A19:AJ19"/>
    <mergeCell ref="A27:AJ27"/>
    <mergeCell ref="A29:AJ29"/>
    <mergeCell ref="E32:G32"/>
    <mergeCell ref="A54:AJ54"/>
    <mergeCell ref="A55:AJ55"/>
    <mergeCell ref="A35:AJ35"/>
    <mergeCell ref="A43:AJ43"/>
    <mergeCell ref="A49:AJ49"/>
    <mergeCell ref="A52:AJ52"/>
    <mergeCell ref="AB32:AI32"/>
    <mergeCell ref="A23:AJ23"/>
    <mergeCell ref="A24:AJ24"/>
    <mergeCell ref="A30:AJ30"/>
    <mergeCell ref="A36:AJ36"/>
    <mergeCell ref="A25:AJ25"/>
    <mergeCell ref="A26:AJ26"/>
    <mergeCell ref="AB33:AI33"/>
    <mergeCell ref="A41:AJ41"/>
    <mergeCell ref="A38:AJ38"/>
    <mergeCell ref="A39:AJ39"/>
  </mergeCells>
  <phoneticPr fontId="6" type="noConversion"/>
  <pageMargins left="0.78740157480314965" right="0.27559055118110237" top="0.39370078740157483" bottom="0.39370078740157483" header="0" footer="0"/>
  <pageSetup paperSize="9" fitToHeight="3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895146-2068-4F55-9061-01E1A61A7A0A}">
          <x14:formula1>
            <xm:f>'данные строй'!$A$3:$A$5</xm:f>
          </x14:formula1>
          <xm:sqref>O62:Q62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Z117"/>
  <sheetViews>
    <sheetView view="pageBreakPreview" topLeftCell="A42" zoomScale="125" zoomScaleNormal="125" zoomScaleSheetLayoutView="125" workbookViewId="0">
      <selection activeCell="A10" sqref="A10:AJ10"/>
    </sheetView>
  </sheetViews>
  <sheetFormatPr defaultColWidth="10.6640625" defaultRowHeight="13.8" x14ac:dyDescent="0.25"/>
  <cols>
    <col min="1" max="31" width="2.77734375" style="1" customWidth="1"/>
    <col min="32" max="32" width="3" style="1" customWidth="1"/>
    <col min="33" max="51" width="2.7773437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2.25" customHeight="1" x14ac:dyDescent="0.2">
      <c r="A4" s="132" t="str">
        <f>'Данные объект'!B3</f>
        <v>Строительство ТП - 6/0,4кВ, ВЛЗ-6 кВ от ВЛЗ-6кВ ф. ЦРП-48 - ТП-326 ПС №387 "Подрезково", ВЛИ-0,38 кВ, рлр, ВРЩ-0,4 кВ, в т.ч. ПИР, МО, Химкинский р-н, г. Химки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</row>
    <row r="5" spans="1:43" s="13" customFormat="1" ht="12" customHeight="1" x14ac:dyDescent="0.2">
      <c r="A5" s="130" t="str">
        <f>'Данные объект'!B9</f>
        <v>КЛ-0,4кВ ф.1 от КТП №1542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</row>
    <row r="6" spans="1:43" s="14" customFormat="1" ht="7.8" x14ac:dyDescent="0.15">
      <c r="A6" s="128" t="s">
        <v>183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</row>
    <row r="7" spans="1:43" s="13" customFormat="1" ht="12.75" customHeight="1" x14ac:dyDescent="0.2">
      <c r="A7" s="133" t="s">
        <v>42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</row>
    <row r="8" spans="1:43" s="13" customFormat="1" ht="12" customHeight="1" x14ac:dyDescent="0.2">
      <c r="A8" s="130" t="str">
        <f>'Данные объект'!B23</f>
        <v>ПАО "Россети Московский регион"</v>
      </c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</row>
    <row r="9" spans="1:43" s="14" customFormat="1" ht="19.5" customHeight="1" x14ac:dyDescent="0.15">
      <c r="A9" s="128" t="s">
        <v>58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</row>
    <row r="10" spans="1:43" s="13" customFormat="1" ht="12" customHeight="1" x14ac:dyDescent="0.2">
      <c r="A10" s="130" t="str">
        <f>'Данные объект'!B24</f>
        <v>ОГРН 1057746555811 ИНН 5036065113 КПП 772501001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</row>
    <row r="11" spans="1:43" s="14" customFormat="1" ht="28.5" customHeight="1" x14ac:dyDescent="0.15">
      <c r="A11" s="128" t="s">
        <v>59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</row>
    <row r="12" spans="1:43" s="13" customFormat="1" ht="12" customHeight="1" x14ac:dyDescent="0.2">
      <c r="A12" s="130" t="str">
        <f>'Данные объект'!B25</f>
        <v>115114, город Москва, проезд Павелецкий 2-й, дом 3, строение 2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</row>
    <row r="13" spans="1:43" s="14" customFormat="1" ht="11.25" customHeight="1" x14ac:dyDescent="0.15">
      <c r="A13" s="128" t="s">
        <v>43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0" t="str">
        <f>'Данные объект'!B11</f>
        <v>ООО"Энергосистемы"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</row>
    <row r="16" spans="1:43" s="14" customFormat="1" ht="9.75" customHeight="1" x14ac:dyDescent="0.15">
      <c r="A16" s="128" t="s">
        <v>37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</row>
    <row r="17" spans="1:36" s="13" customFormat="1" ht="12" customHeight="1" x14ac:dyDescent="0.2">
      <c r="A17" s="130" t="str">
        <f>'Данные объект'!B12</f>
        <v>ОГРН 1135044003709  ИНН 5044089069 КПП 504401001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</row>
    <row r="18" spans="1:36" s="14" customFormat="1" ht="8.25" customHeight="1" x14ac:dyDescent="0.15">
      <c r="A18" s="128" t="s">
        <v>44</v>
      </c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</row>
    <row r="19" spans="1:36" s="13" customFormat="1" ht="12" customHeight="1" x14ac:dyDescent="0.2">
      <c r="A19" s="130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</row>
    <row r="20" spans="1:36" s="14" customFormat="1" ht="27" customHeight="1" x14ac:dyDescent="0.15">
      <c r="A20" s="128" t="s">
        <v>60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0" t="str">
        <f>'Данные объект'!B39</f>
        <v>ООО"Энергосистемы"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</row>
    <row r="23" spans="1:36" s="14" customFormat="1" ht="7.5" customHeight="1" x14ac:dyDescent="0.15">
      <c r="A23" s="128" t="s">
        <v>37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</row>
    <row r="24" spans="1:36" s="13" customFormat="1" ht="12" customHeight="1" x14ac:dyDescent="0.2">
      <c r="A24" s="130" t="str">
        <f>'Данные объект'!B40</f>
        <v>ОГРН 1135044003709  ИНН 5044089069 КПП 504401001</v>
      </c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</row>
    <row r="25" spans="1:36" s="14" customFormat="1" ht="7.5" customHeight="1" x14ac:dyDescent="0.15">
      <c r="A25" s="128" t="s">
        <v>61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</row>
    <row r="26" spans="1:36" s="13" customFormat="1" ht="12" customHeight="1" x14ac:dyDescent="0.2">
      <c r="A26" s="130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</row>
    <row r="27" spans="1:36" s="14" customFormat="1" ht="22.5" customHeight="1" x14ac:dyDescent="0.15">
      <c r="A27" s="128" t="s">
        <v>45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" customHeight="1" x14ac:dyDescent="0.2">
      <c r="A29" s="131" t="s">
        <v>36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</row>
    <row r="30" spans="1:36" s="13" customFormat="1" ht="12.9" customHeight="1" x14ac:dyDescent="0.2">
      <c r="A30" s="136" t="s">
        <v>19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" customHeight="1" x14ac:dyDescent="0.25">
      <c r="A32" s="24"/>
      <c r="B32" s="24" t="s">
        <v>18</v>
      </c>
      <c r="C32" s="25">
        <f>'АОСР-1'!C32+1</f>
        <v>2</v>
      </c>
      <c r="D32" s="25"/>
      <c r="E32" s="127" t="s">
        <v>86</v>
      </c>
      <c r="F32" s="127"/>
      <c r="G32" s="127"/>
      <c r="H32" s="27"/>
      <c r="I32" s="27"/>
      <c r="J32" s="27"/>
      <c r="X32" s="21"/>
      <c r="Y32" s="32"/>
      <c r="Z32" s="32"/>
      <c r="AB32" s="135" t="str">
        <f>P78</f>
        <v>15.06.2026</v>
      </c>
      <c r="AC32" s="135"/>
      <c r="AD32" s="135"/>
      <c r="AE32" s="135"/>
      <c r="AF32" s="135"/>
      <c r="AG32" s="135"/>
      <c r="AH32" s="135"/>
      <c r="AI32" s="135"/>
      <c r="AJ32" s="13" t="s">
        <v>6</v>
      </c>
    </row>
    <row r="33" spans="1:52" s="14" customFormat="1" ht="9" customHeight="1" x14ac:dyDescent="0.15">
      <c r="Y33" s="15"/>
      <c r="Z33" s="16"/>
      <c r="AA33" s="15"/>
      <c r="AB33" s="137" t="s">
        <v>17</v>
      </c>
      <c r="AC33" s="137"/>
      <c r="AD33" s="137"/>
      <c r="AE33" s="137"/>
      <c r="AF33" s="137"/>
      <c r="AG33" s="137"/>
      <c r="AH33" s="137"/>
      <c r="AI33" s="137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3" t="s">
        <v>46</v>
      </c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</row>
    <row r="36" spans="1:52" s="13" customFormat="1" ht="25.5" customHeight="1" x14ac:dyDescent="0.2">
      <c r="A36" s="132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</row>
    <row r="37" spans="1:52" s="14" customFormat="1" ht="28.5" customHeight="1" x14ac:dyDescent="0.15">
      <c r="A37" s="128" t="s">
        <v>47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52" s="13" customFormat="1" ht="21.75" customHeight="1" x14ac:dyDescent="0.2">
      <c r="A38" s="132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</row>
    <row r="39" spans="1:52" s="14" customFormat="1" ht="25.5" customHeight="1" x14ac:dyDescent="0.2">
      <c r="A39" s="138" t="s">
        <v>48</v>
      </c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0" t="str">
        <f>'Данные объект'!C21</f>
        <v>Прораб ООО"Энергосистемы" Волков М.Ю..Приказ №05-ОТ/24 от 09 января 2024г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</row>
    <row r="42" spans="1:52" s="14" customFormat="1" ht="9" customHeight="1" x14ac:dyDescent="0.15">
      <c r="A42" s="128" t="s">
        <v>26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</row>
    <row r="43" spans="1:52" s="13" customFormat="1" ht="17.25" customHeight="1" x14ac:dyDescent="0.2">
      <c r="A43" s="133" t="s">
        <v>49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</row>
    <row r="44" spans="1:52" s="31" customFormat="1" ht="22.5" customHeight="1" x14ac:dyDescent="0.25">
      <c r="A44" s="132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</row>
    <row r="45" spans="1:52" s="14" customFormat="1" ht="30" customHeight="1" x14ac:dyDescent="0.15">
      <c r="A45" s="128" t="s">
        <v>50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52" s="14" customFormat="1" ht="10.199999999999999" x14ac:dyDescent="0.2">
      <c r="A46" s="133" t="s">
        <v>181</v>
      </c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</row>
    <row r="47" spans="1:52" s="14" customFormat="1" ht="11.25" customHeight="1" x14ac:dyDescent="0.15">
      <c r="A47" s="132" t="str">
        <f>'Данные объект'!$C$36</f>
        <v xml:space="preserve"> ПАО "Россети Московский регион" </v>
      </c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</row>
    <row r="48" spans="1:52" s="14" customFormat="1" ht="7.8" x14ac:dyDescent="0.15">
      <c r="A48" s="128" t="s">
        <v>26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6" s="13" customFormat="1" ht="35.25" customHeight="1" x14ac:dyDescent="0.2">
      <c r="A49" s="134" t="s">
        <v>51</v>
      </c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</row>
    <row r="50" spans="1:36" s="31" customFormat="1" ht="12.9" customHeight="1" x14ac:dyDescent="0.25">
      <c r="A50" s="130" t="s">
        <v>74</v>
      </c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</row>
    <row r="51" spans="1:36" s="14" customFormat="1" ht="29.25" customHeight="1" x14ac:dyDescent="0.15">
      <c r="A51" s="128" t="s">
        <v>52</v>
      </c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</row>
    <row r="52" spans="1:36" s="13" customFormat="1" ht="25.5" hidden="1" customHeight="1" x14ac:dyDescent="0.2">
      <c r="A52" s="134" t="s">
        <v>53</v>
      </c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</row>
    <row r="53" spans="1:36" s="13" customFormat="1" ht="12" hidden="1" customHeight="1" x14ac:dyDescent="0.2">
      <c r="A53" s="132" t="e">
        <f>CONCATENATE(#REF!,", ",#REF!," - ",#REF!)</f>
        <v>#REF!</v>
      </c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</row>
    <row r="54" spans="1:36" s="14" customFormat="1" ht="9.75" hidden="1" customHeight="1" x14ac:dyDescent="0.15">
      <c r="A54" s="128" t="s">
        <v>29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6" s="13" customFormat="1" ht="12" hidden="1" customHeight="1" x14ac:dyDescent="0.2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</row>
    <row r="56" spans="1:36" s="14" customFormat="1" ht="16.5" hidden="1" customHeight="1" x14ac:dyDescent="0.15">
      <c r="A56" s="128" t="s">
        <v>54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</row>
    <row r="57" spans="1:36" s="13" customFormat="1" ht="12" customHeight="1" x14ac:dyDescent="0.2">
      <c r="A57" s="13" t="s">
        <v>16</v>
      </c>
    </row>
    <row r="58" spans="1:36" s="13" customFormat="1" ht="12.9" customHeight="1" x14ac:dyDescent="0.25">
      <c r="A58" s="127" t="str">
        <f>'Данные объект'!B11</f>
        <v>ООО"Энергосистемы"</v>
      </c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127"/>
      <c r="AJ58" s="127"/>
    </row>
    <row r="59" spans="1:36" s="14" customFormat="1" ht="10.5" customHeight="1" x14ac:dyDescent="0.15">
      <c r="A59" s="142" t="s">
        <v>38</v>
      </c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" customHeight="1" x14ac:dyDescent="0.2">
      <c r="A62" s="148" t="s">
        <v>165</v>
      </c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39" t="s">
        <v>155</v>
      </c>
      <c r="P62" s="139"/>
      <c r="Q62" s="139"/>
      <c r="R62" s="139">
        <f>(17.91+0.285+0.53)/2</f>
        <v>9.3625000000000007</v>
      </c>
      <c r="S62" s="139"/>
      <c r="T62" s="139"/>
      <c r="U62" s="141" t="s">
        <v>82</v>
      </c>
      <c r="V62" s="141"/>
      <c r="W62" s="141"/>
      <c r="X62" s="141"/>
      <c r="Y62" s="141"/>
      <c r="Z62" s="141"/>
      <c r="AA62" s="141"/>
      <c r="AB62" s="74"/>
      <c r="AC62" s="141"/>
      <c r="AD62" s="141"/>
      <c r="AE62" s="141"/>
      <c r="AF62" s="141"/>
      <c r="AG62" s="141"/>
      <c r="AH62" s="73"/>
      <c r="AI62" s="73"/>
      <c r="AJ62" s="73"/>
    </row>
    <row r="63" spans="1:36" s="14" customFormat="1" ht="8.25" customHeight="1" x14ac:dyDescent="0.15">
      <c r="A63" s="128" t="s">
        <v>14</v>
      </c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</row>
    <row r="64" spans="1:36" s="13" customFormat="1" ht="12" customHeight="1" x14ac:dyDescent="0.2">
      <c r="A64" s="13" t="s">
        <v>13</v>
      </c>
    </row>
    <row r="65" spans="1:36" s="13" customFormat="1" ht="12" customHeight="1" x14ac:dyDescent="0.2">
      <c r="A65" s="132" t="str">
        <f>'Данные объект'!B43</f>
        <v>4708-308092-125-11/24.ЭС</v>
      </c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 spans="1:36" s="14" customFormat="1" ht="15" customHeight="1" x14ac:dyDescent="0.15">
      <c r="A66" s="128" t="s">
        <v>39</v>
      </c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</row>
    <row r="67" spans="1:36" s="13" customFormat="1" ht="12" customHeight="1" x14ac:dyDescent="0.25">
      <c r="A67" s="13" t="s">
        <v>12</v>
      </c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</row>
    <row r="68" spans="1:36" s="18" customFormat="1" ht="7.5" customHeight="1" x14ac:dyDescent="0.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43" t="s">
        <v>55</v>
      </c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</row>
    <row r="69" spans="1:36" s="13" customFormat="1" ht="12" customHeight="1" x14ac:dyDescent="0.2">
      <c r="A69" s="148" t="s">
        <v>91</v>
      </c>
      <c r="B69" s="148"/>
      <c r="C69" s="148"/>
      <c r="D69" s="34" t="s">
        <v>74</v>
      </c>
      <c r="E69" s="130">
        <f>R62</f>
        <v>9.3625000000000007</v>
      </c>
      <c r="F69" s="130"/>
      <c r="G69" s="130"/>
      <c r="H69" s="130"/>
      <c r="I69" s="34" t="s">
        <v>82</v>
      </c>
      <c r="J69" s="34"/>
      <c r="K69" s="149" t="s">
        <v>169</v>
      </c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34"/>
      <c r="AF69" s="34"/>
      <c r="AG69" s="34"/>
      <c r="AH69" s="34"/>
      <c r="AI69" s="34"/>
      <c r="AJ69" s="34"/>
    </row>
    <row r="70" spans="1:36" s="14" customFormat="1" ht="18.75" customHeight="1" x14ac:dyDescent="0.15">
      <c r="A70" s="128" t="s">
        <v>56</v>
      </c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5">
      <c r="A72" s="13" t="s">
        <v>10</v>
      </c>
      <c r="G72" s="127" t="s">
        <v>89</v>
      </c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25" t="s">
        <v>88</v>
      </c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</row>
    <row r="73" spans="1:36" s="14" customFormat="1" ht="7.5" customHeight="1" x14ac:dyDescent="0.15">
      <c r="A73" s="146"/>
      <c r="B73" s="146"/>
      <c r="C73" s="20"/>
      <c r="D73" s="20"/>
      <c r="E73" s="20"/>
      <c r="F73" s="20"/>
      <c r="G73" s="129" t="s">
        <v>9</v>
      </c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</row>
    <row r="74" spans="1:36" s="13" customFormat="1" ht="12" customHeight="1" x14ac:dyDescent="0.25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</row>
    <row r="75" spans="1:36" s="14" customFormat="1" ht="7.5" customHeight="1" x14ac:dyDescent="0.15">
      <c r="A75" s="128" t="s">
        <v>31</v>
      </c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5">
      <c r="A77" s="13" t="s">
        <v>8</v>
      </c>
      <c r="D77" s="28"/>
      <c r="E77" s="28"/>
      <c r="F77" s="28"/>
      <c r="G77" s="28"/>
      <c r="L77" s="21"/>
      <c r="M77" s="32"/>
      <c r="N77" s="32"/>
      <c r="P77" s="135" t="str">
        <f>'Данные объект'!B6</f>
        <v>09.06.2026</v>
      </c>
      <c r="Q77" s="135"/>
      <c r="R77" s="135"/>
      <c r="S77" s="135"/>
      <c r="T77" s="135"/>
      <c r="U77" s="135"/>
      <c r="V77" s="135"/>
      <c r="W77" s="135"/>
      <c r="X77" s="13" t="s">
        <v>6</v>
      </c>
    </row>
    <row r="78" spans="1:36" s="13" customFormat="1" ht="12" customHeight="1" x14ac:dyDescent="0.25">
      <c r="A78" s="13" t="s">
        <v>7</v>
      </c>
      <c r="D78" s="28"/>
      <c r="E78" s="28"/>
      <c r="F78" s="28"/>
      <c r="G78" s="28"/>
      <c r="L78" s="21"/>
      <c r="M78" s="32"/>
      <c r="N78" s="32"/>
      <c r="P78" s="145" t="str">
        <f>'Данные объект'!B7</f>
        <v>15.06.2026</v>
      </c>
      <c r="Q78" s="145"/>
      <c r="R78" s="145"/>
      <c r="S78" s="145"/>
      <c r="T78" s="145"/>
      <c r="U78" s="145"/>
      <c r="V78" s="145"/>
      <c r="W78" s="145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5">
      <c r="A81" s="144" t="s">
        <v>103</v>
      </c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</row>
    <row r="82" spans="1:36" s="14" customFormat="1" ht="8.25" customHeight="1" x14ac:dyDescent="0.15">
      <c r="A82" s="128" t="s">
        <v>4</v>
      </c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</row>
    <row r="83" spans="1:36" s="13" customFormat="1" ht="12" customHeight="1" x14ac:dyDescent="0.25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</row>
    <row r="84" spans="1:36" s="14" customFormat="1" ht="8.25" customHeight="1" x14ac:dyDescent="0.15">
      <c r="A84" s="128" t="s">
        <v>57</v>
      </c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5">
      <c r="A86" s="127" t="s">
        <v>168</v>
      </c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</row>
    <row r="87" spans="1:36" s="14" customFormat="1" ht="9" customHeight="1" x14ac:dyDescent="0.15">
      <c r="A87" s="128" t="s">
        <v>32</v>
      </c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</row>
    <row r="88" spans="1:36" s="13" customFormat="1" ht="12" customHeight="1" x14ac:dyDescent="0.25">
      <c r="A88" s="13" t="s">
        <v>2</v>
      </c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5">
      <c r="A90" s="13" t="s">
        <v>87</v>
      </c>
      <c r="H90" s="127"/>
      <c r="I90" s="127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5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26"/>
      <c r="M93" s="25"/>
      <c r="N93" s="25"/>
      <c r="O93" s="25"/>
      <c r="P93" s="26" t="s">
        <v>74</v>
      </c>
      <c r="Q93" s="25" t="s">
        <v>84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5">
      <c r="A94" s="33" t="s">
        <v>85</v>
      </c>
      <c r="B94" s="147" t="str">
        <f>K69</f>
        <v>Паспорт качества № 1925 от 15.01.2025г.</v>
      </c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29" t="s">
        <v>74</v>
      </c>
      <c r="Q94" s="33" t="s">
        <v>84</v>
      </c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28" t="s">
        <v>0</v>
      </c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5">
      <c r="A99" s="127" t="str">
        <f>'Данные объект'!B33</f>
        <v>Алексанян Г.Р.</v>
      </c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27"/>
      <c r="AC99" s="127"/>
      <c r="AD99" s="127"/>
      <c r="AE99" s="127"/>
      <c r="AF99" s="127"/>
      <c r="AG99" s="127"/>
      <c r="AH99" s="127"/>
      <c r="AI99" s="127"/>
      <c r="AJ99" s="127"/>
    </row>
    <row r="100" spans="1:36" s="14" customFormat="1" ht="9" customHeight="1" x14ac:dyDescent="0.15">
      <c r="A100" s="142" t="s">
        <v>35</v>
      </c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43" t="s">
        <v>34</v>
      </c>
      <c r="AC100" s="143"/>
      <c r="AD100" s="143"/>
      <c r="AE100" s="143"/>
      <c r="AF100" s="143"/>
      <c r="AG100" s="143"/>
      <c r="AH100" s="143"/>
      <c r="AI100" s="143"/>
      <c r="AJ100" s="143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5">
      <c r="A102" s="127" t="str">
        <f>'Данные объект'!B20</f>
        <v>Волков М.Ю.</v>
      </c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27"/>
      <c r="AC102" s="127"/>
      <c r="AD102" s="127"/>
      <c r="AE102" s="127"/>
      <c r="AF102" s="127"/>
      <c r="AG102" s="127"/>
      <c r="AH102" s="127"/>
      <c r="AI102" s="127"/>
      <c r="AJ102" s="127"/>
    </row>
    <row r="103" spans="1:36" s="14" customFormat="1" ht="9" customHeight="1" x14ac:dyDescent="0.15">
      <c r="A103" s="142" t="s">
        <v>35</v>
      </c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43" t="s">
        <v>34</v>
      </c>
      <c r="AC103" s="143"/>
      <c r="AD103" s="143"/>
      <c r="AE103" s="143"/>
      <c r="AF103" s="143"/>
      <c r="AG103" s="143"/>
      <c r="AH103" s="143"/>
      <c r="AI103" s="143"/>
      <c r="AJ103" s="143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5">
      <c r="A106" s="127" t="str">
        <f>'Данные объект'!B17</f>
        <v>Русин В.А.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27"/>
      <c r="AC106" s="127"/>
      <c r="AD106" s="127"/>
      <c r="AE106" s="127"/>
      <c r="AF106" s="127"/>
      <c r="AG106" s="127"/>
      <c r="AH106" s="127"/>
      <c r="AI106" s="127"/>
      <c r="AJ106" s="127"/>
    </row>
    <row r="107" spans="1:36" s="14" customFormat="1" ht="9" customHeight="1" x14ac:dyDescent="0.15">
      <c r="A107" s="142" t="s">
        <v>35</v>
      </c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43" t="s">
        <v>34</v>
      </c>
      <c r="AC107" s="143"/>
      <c r="AD107" s="143"/>
      <c r="AE107" s="143"/>
      <c r="AF107" s="143"/>
      <c r="AG107" s="143"/>
      <c r="AH107" s="143"/>
      <c r="AI107" s="143"/>
      <c r="AJ107" s="143"/>
    </row>
    <row r="108" spans="1:36" s="14" customFormat="1" ht="10.199999999999999" x14ac:dyDescent="0.2">
      <c r="A108" s="13" t="s">
        <v>182</v>
      </c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91"/>
      <c r="Q108" s="91"/>
      <c r="R108" s="91"/>
      <c r="S108" s="91"/>
      <c r="T108" s="91"/>
      <c r="U108" s="92"/>
      <c r="V108" s="92"/>
      <c r="W108" s="92"/>
      <c r="X108" s="92"/>
      <c r="Y108" s="92"/>
      <c r="Z108" s="92"/>
      <c r="AA108" s="92"/>
      <c r="AB108" s="83"/>
      <c r="AC108" s="83"/>
      <c r="AD108" s="83"/>
      <c r="AE108" s="83"/>
      <c r="AF108" s="83"/>
      <c r="AG108" s="83"/>
      <c r="AH108" s="83"/>
      <c r="AI108" s="83"/>
      <c r="AJ108" s="83"/>
    </row>
    <row r="109" spans="1:36" s="14" customFormat="1" ht="10.8" x14ac:dyDescent="0.25">
      <c r="A109" s="127">
        <f>'Данные объект'!$B$36</f>
        <v>0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91"/>
      <c r="Q109" s="91"/>
      <c r="R109" s="91"/>
      <c r="S109" s="91"/>
      <c r="T109" s="91"/>
      <c r="U109" s="92"/>
      <c r="V109" s="92"/>
      <c r="W109" s="92"/>
      <c r="X109" s="92"/>
      <c r="Y109" s="92"/>
      <c r="Z109" s="92"/>
      <c r="AA109" s="92"/>
      <c r="AB109" s="127"/>
      <c r="AC109" s="127"/>
      <c r="AD109" s="127"/>
      <c r="AE109" s="127"/>
      <c r="AF109" s="127"/>
      <c r="AG109" s="127"/>
      <c r="AH109" s="127"/>
      <c r="AI109" s="127"/>
      <c r="AJ109" s="127"/>
    </row>
    <row r="110" spans="1:36" s="14" customFormat="1" ht="9.6" x14ac:dyDescent="0.15">
      <c r="A110" s="142" t="s">
        <v>35</v>
      </c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91"/>
      <c r="Q110" s="91"/>
      <c r="R110" s="91"/>
      <c r="S110" s="91"/>
      <c r="T110" s="91"/>
      <c r="U110" s="92"/>
      <c r="V110" s="92"/>
      <c r="W110" s="92"/>
      <c r="X110" s="92"/>
      <c r="Y110" s="92"/>
      <c r="Z110" s="92"/>
      <c r="AA110" s="92"/>
      <c r="AB110" s="143" t="s">
        <v>34</v>
      </c>
      <c r="AC110" s="143"/>
      <c r="AD110" s="143"/>
      <c r="AE110" s="143"/>
      <c r="AF110" s="143"/>
      <c r="AG110" s="143"/>
      <c r="AH110" s="143"/>
      <c r="AI110" s="143"/>
      <c r="AJ110" s="143"/>
    </row>
    <row r="111" spans="1:36" s="13" customFormat="1" ht="38.25" customHeight="1" x14ac:dyDescent="0.2">
      <c r="A111" s="134" t="s">
        <v>51</v>
      </c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34"/>
      <c r="AJ111" s="134"/>
    </row>
    <row r="112" spans="1:36" s="13" customFormat="1" ht="12" customHeight="1" x14ac:dyDescent="0.25">
      <c r="A112" s="127" t="s">
        <v>74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27" t="s">
        <v>74</v>
      </c>
      <c r="AC112" s="127"/>
      <c r="AD112" s="127"/>
      <c r="AE112" s="127"/>
      <c r="AF112" s="127"/>
      <c r="AG112" s="127"/>
      <c r="AH112" s="127"/>
      <c r="AI112" s="127"/>
      <c r="AJ112" s="127"/>
    </row>
    <row r="113" spans="1:36" s="14" customFormat="1" ht="9" customHeight="1" x14ac:dyDescent="0.15">
      <c r="A113" s="142" t="s">
        <v>35</v>
      </c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43" t="s">
        <v>34</v>
      </c>
      <c r="AC113" s="143"/>
      <c r="AD113" s="143"/>
      <c r="AE113" s="143"/>
      <c r="AF113" s="143"/>
      <c r="AG113" s="143"/>
      <c r="AH113" s="143"/>
      <c r="AI113" s="143"/>
      <c r="AJ113" s="143"/>
    </row>
    <row r="114" spans="1:36" s="13" customFormat="1" ht="24.75" hidden="1" customHeight="1" x14ac:dyDescent="0.2">
      <c r="A114" s="134" t="s">
        <v>53</v>
      </c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  <c r="AE114" s="134"/>
      <c r="AF114" s="134"/>
      <c r="AG114" s="134"/>
      <c r="AH114" s="134"/>
      <c r="AI114" s="134"/>
      <c r="AJ114" s="134"/>
    </row>
    <row r="115" spans="1:36" s="13" customFormat="1" ht="12" hidden="1" customHeight="1" x14ac:dyDescent="0.25">
      <c r="A115" s="127" t="e">
        <f>#REF!</f>
        <v>#REF!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27"/>
      <c r="AC115" s="127"/>
      <c r="AD115" s="127"/>
      <c r="AE115" s="127"/>
      <c r="AF115" s="127"/>
      <c r="AG115" s="127"/>
      <c r="AH115" s="127"/>
      <c r="AI115" s="127"/>
      <c r="AJ115" s="127"/>
    </row>
    <row r="116" spans="1:36" s="14" customFormat="1" ht="9" hidden="1" customHeight="1" x14ac:dyDescent="0.15">
      <c r="A116" s="142" t="s">
        <v>35</v>
      </c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43" t="s">
        <v>34</v>
      </c>
      <c r="AC116" s="143"/>
      <c r="AD116" s="143"/>
      <c r="AE116" s="143"/>
      <c r="AF116" s="143"/>
      <c r="AG116" s="143"/>
      <c r="AH116" s="143"/>
      <c r="AI116" s="143"/>
      <c r="AJ116" s="143"/>
    </row>
    <row r="117" spans="1:36" ht="12" customHeight="1" x14ac:dyDescent="0.25"/>
  </sheetData>
  <mergeCells count="110">
    <mergeCell ref="A13:AJ13"/>
    <mergeCell ref="A15:AJ15"/>
    <mergeCell ref="A16:AJ16"/>
    <mergeCell ref="A17:AJ17"/>
    <mergeCell ref="A18:AJ18"/>
    <mergeCell ref="A19:AJ19"/>
    <mergeCell ref="A20:AJ20"/>
    <mergeCell ref="A4:AJ4"/>
    <mergeCell ref="A5:AJ5"/>
    <mergeCell ref="A6:AJ6"/>
    <mergeCell ref="A8:AJ8"/>
    <mergeCell ref="A9:AJ9"/>
    <mergeCell ref="A10:AJ10"/>
    <mergeCell ref="A11:AJ11"/>
    <mergeCell ref="A12:AJ12"/>
    <mergeCell ref="A7:AJ7"/>
    <mergeCell ref="A22:AJ22"/>
    <mergeCell ref="A23:AJ23"/>
    <mergeCell ref="AB32:AI32"/>
    <mergeCell ref="A35:AJ35"/>
    <mergeCell ref="A36:AJ36"/>
    <mergeCell ref="A37:AJ37"/>
    <mergeCell ref="A38:AJ38"/>
    <mergeCell ref="A39:AJ39"/>
    <mergeCell ref="A41:AJ41"/>
    <mergeCell ref="AB33:AI33"/>
    <mergeCell ref="A24:AJ24"/>
    <mergeCell ref="A25:AJ25"/>
    <mergeCell ref="A26:AJ26"/>
    <mergeCell ref="A27:AJ27"/>
    <mergeCell ref="A29:AJ29"/>
    <mergeCell ref="A30:AJ30"/>
    <mergeCell ref="E32:G32"/>
    <mergeCell ref="A42:AJ42"/>
    <mergeCell ref="A43:AJ43"/>
    <mergeCell ref="A44:AJ44"/>
    <mergeCell ref="A45:AJ45"/>
    <mergeCell ref="A49:AJ49"/>
    <mergeCell ref="A50:AJ50"/>
    <mergeCell ref="A51:AJ51"/>
    <mergeCell ref="A52:AJ52"/>
    <mergeCell ref="A53:AJ53"/>
    <mergeCell ref="A46:AJ46"/>
    <mergeCell ref="A47:AJ47"/>
    <mergeCell ref="A48:AJ48"/>
    <mergeCell ref="A54:AJ54"/>
    <mergeCell ref="A55:AJ55"/>
    <mergeCell ref="A56:AJ56"/>
    <mergeCell ref="A74:AJ74"/>
    <mergeCell ref="A75:AJ75"/>
    <mergeCell ref="A58:AJ58"/>
    <mergeCell ref="A59:AJ59"/>
    <mergeCell ref="P67:AJ67"/>
    <mergeCell ref="P68:AJ68"/>
    <mergeCell ref="A70:AJ70"/>
    <mergeCell ref="G72:U72"/>
    <mergeCell ref="W72:AJ72"/>
    <mergeCell ref="A63:AJ63"/>
    <mergeCell ref="A65:AJ65"/>
    <mergeCell ref="A66:AJ66"/>
    <mergeCell ref="A62:N62"/>
    <mergeCell ref="O62:Q62"/>
    <mergeCell ref="W62:AA62"/>
    <mergeCell ref="AC62:AE62"/>
    <mergeCell ref="AF62:AG62"/>
    <mergeCell ref="A73:B73"/>
    <mergeCell ref="G73:AJ73"/>
    <mergeCell ref="U62:V62"/>
    <mergeCell ref="R62:T62"/>
    <mergeCell ref="P77:W77"/>
    <mergeCell ref="P78:W78"/>
    <mergeCell ref="A69:C69"/>
    <mergeCell ref="E69:H69"/>
    <mergeCell ref="K69:AD69"/>
    <mergeCell ref="A114:AJ114"/>
    <mergeCell ref="A103:O103"/>
    <mergeCell ref="AB103:AJ103"/>
    <mergeCell ref="A106:O106"/>
    <mergeCell ref="AB106:AJ106"/>
    <mergeCell ref="A107:O107"/>
    <mergeCell ref="AB107:AJ107"/>
    <mergeCell ref="A95:AJ95"/>
    <mergeCell ref="A99:O99"/>
    <mergeCell ref="AB99:AJ99"/>
    <mergeCell ref="A100:O100"/>
    <mergeCell ref="AB100:AJ100"/>
    <mergeCell ref="A102:O102"/>
    <mergeCell ref="AB102:AJ102"/>
    <mergeCell ref="AB112:AJ112"/>
    <mergeCell ref="A113:O113"/>
    <mergeCell ref="AB113:AJ113"/>
    <mergeCell ref="A109:O109"/>
    <mergeCell ref="AB109:AJ109"/>
    <mergeCell ref="A116:O116"/>
    <mergeCell ref="AB116:AJ116"/>
    <mergeCell ref="B94:O94"/>
    <mergeCell ref="A111:AJ111"/>
    <mergeCell ref="A112:O112"/>
    <mergeCell ref="A115:O115"/>
    <mergeCell ref="AB115:AJ115"/>
    <mergeCell ref="A81:AJ81"/>
    <mergeCell ref="A82:AJ82"/>
    <mergeCell ref="A83:AJ83"/>
    <mergeCell ref="A84:AJ84"/>
    <mergeCell ref="A86:AJ86"/>
    <mergeCell ref="A87:AJ87"/>
    <mergeCell ref="L88:AJ88"/>
    <mergeCell ref="H90:I90"/>
    <mergeCell ref="A110:O110"/>
    <mergeCell ref="AB110:AJ110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D66E36-5168-4E0A-9FB8-5ED35B6BDA9D}">
          <x14:formula1>
            <xm:f>'данные строй'!$A$3:$A$5</xm:f>
          </x14:formula1>
          <xm:sqref>O62:Q62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AZ117"/>
  <sheetViews>
    <sheetView view="pageBreakPreview" topLeftCell="A48" zoomScale="125" zoomScaleNormal="125" zoomScaleSheetLayoutView="125" workbookViewId="0">
      <selection activeCell="AZ64" sqref="AZ64"/>
    </sheetView>
  </sheetViews>
  <sheetFormatPr defaultColWidth="10.6640625" defaultRowHeight="13.8" x14ac:dyDescent="0.25"/>
  <cols>
    <col min="1" max="31" width="2.77734375" style="1" customWidth="1"/>
    <col min="32" max="32" width="3" style="1" customWidth="1"/>
    <col min="33" max="51" width="2.7773437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3.75" customHeight="1" x14ac:dyDescent="0.2">
      <c r="A4" s="132" t="str">
        <f>'Данные объект'!B3</f>
        <v>Строительство ТП - 6/0,4кВ, ВЛЗ-6 кВ от ВЛЗ-6кВ ф. ЦРП-48 - ТП-326 ПС №387 "Подрезково", ВЛИ-0,38 кВ, рлр, ВРЩ-0,4 кВ, в т.ч. ПИР, МО, Химкинский р-н, г. Химки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</row>
    <row r="5" spans="1:43" s="13" customFormat="1" ht="12" customHeight="1" x14ac:dyDescent="0.2">
      <c r="A5" s="130" t="str">
        <f>'Данные объект'!B9</f>
        <v>КЛ-0,4кВ ф.1 от КТП №1542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</row>
    <row r="6" spans="1:43" s="14" customFormat="1" ht="7.8" x14ac:dyDescent="0.15">
      <c r="A6" s="128" t="s">
        <v>183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</row>
    <row r="7" spans="1:43" s="13" customFormat="1" ht="12.75" customHeight="1" x14ac:dyDescent="0.2">
      <c r="A7" s="133" t="s">
        <v>42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</row>
    <row r="8" spans="1:43" s="13" customFormat="1" ht="12" customHeight="1" x14ac:dyDescent="0.2">
      <c r="A8" s="130" t="str">
        <f>'Данные объект'!B23</f>
        <v>ПАО "Россети Московский регион"</v>
      </c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</row>
    <row r="9" spans="1:43" s="14" customFormat="1" ht="19.5" customHeight="1" x14ac:dyDescent="0.15">
      <c r="A9" s="128" t="s">
        <v>58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</row>
    <row r="10" spans="1:43" s="13" customFormat="1" ht="12" customHeight="1" x14ac:dyDescent="0.2">
      <c r="A10" s="130" t="str">
        <f>'Данные объект'!B24</f>
        <v>ОГРН 1057746555811 ИНН 5036065113 КПП 772501001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</row>
    <row r="11" spans="1:43" s="14" customFormat="1" ht="28.5" customHeight="1" x14ac:dyDescent="0.15">
      <c r="A11" s="128" t="s">
        <v>59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</row>
    <row r="12" spans="1:43" s="13" customFormat="1" ht="12" customHeight="1" x14ac:dyDescent="0.2">
      <c r="A12" s="130" t="str">
        <f>'Данные объект'!B25</f>
        <v>115114, город Москва, проезд Павелецкий 2-й, дом 3, строение 2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</row>
    <row r="13" spans="1:43" s="14" customFormat="1" ht="11.25" customHeight="1" x14ac:dyDescent="0.15">
      <c r="A13" s="128" t="s">
        <v>43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0" t="str">
        <f>'Данные объект'!B11</f>
        <v>ООО"Энергосистемы"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</row>
    <row r="16" spans="1:43" s="14" customFormat="1" ht="9.75" customHeight="1" x14ac:dyDescent="0.15">
      <c r="A16" s="128" t="s">
        <v>37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</row>
    <row r="17" spans="1:36" s="13" customFormat="1" ht="12" customHeight="1" x14ac:dyDescent="0.2">
      <c r="A17" s="130" t="str">
        <f>'Данные объект'!B12</f>
        <v>ОГРН 1135044003709  ИНН 5044089069 КПП 504401001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</row>
    <row r="18" spans="1:36" s="14" customFormat="1" ht="8.25" customHeight="1" x14ac:dyDescent="0.15">
      <c r="A18" s="128" t="s">
        <v>44</v>
      </c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</row>
    <row r="19" spans="1:36" s="13" customFormat="1" ht="12" customHeight="1" x14ac:dyDescent="0.2">
      <c r="A19" s="130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</row>
    <row r="20" spans="1:36" s="14" customFormat="1" ht="27" customHeight="1" x14ac:dyDescent="0.15">
      <c r="A20" s="128" t="s">
        <v>60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0" t="str">
        <f>'Данные объект'!B39</f>
        <v>ООО"Энергосистемы"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</row>
    <row r="23" spans="1:36" s="14" customFormat="1" ht="7.5" customHeight="1" x14ac:dyDescent="0.15">
      <c r="A23" s="128" t="s">
        <v>37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</row>
    <row r="24" spans="1:36" s="13" customFormat="1" ht="12" customHeight="1" x14ac:dyDescent="0.2">
      <c r="A24" s="130" t="str">
        <f>'Данные объект'!B40</f>
        <v>ОГРН 1135044003709  ИНН 5044089069 КПП 504401001</v>
      </c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</row>
    <row r="25" spans="1:36" s="14" customFormat="1" ht="7.5" customHeight="1" x14ac:dyDescent="0.15">
      <c r="A25" s="128" t="s">
        <v>61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</row>
    <row r="26" spans="1:36" s="13" customFormat="1" ht="12" customHeight="1" x14ac:dyDescent="0.2">
      <c r="A26" s="130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</row>
    <row r="27" spans="1:36" s="14" customFormat="1" ht="22.5" customHeight="1" x14ac:dyDescent="0.15">
      <c r="A27" s="128" t="s">
        <v>45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" customHeight="1" x14ac:dyDescent="0.2">
      <c r="A29" s="131" t="s">
        <v>36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</row>
    <row r="30" spans="1:36" s="13" customFormat="1" ht="12.9" customHeight="1" x14ac:dyDescent="0.2">
      <c r="A30" s="136" t="s">
        <v>19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" customHeight="1" x14ac:dyDescent="0.25">
      <c r="A32" s="24"/>
      <c r="B32" s="24" t="s">
        <v>18</v>
      </c>
      <c r="C32" s="25">
        <f>1</f>
        <v>1</v>
      </c>
      <c r="D32" s="25"/>
      <c r="E32" s="127" t="s">
        <v>209</v>
      </c>
      <c r="F32" s="127"/>
      <c r="G32" s="127"/>
      <c r="H32" s="27"/>
      <c r="I32" s="27"/>
      <c r="J32" s="27"/>
      <c r="X32" s="21"/>
      <c r="Y32" s="32"/>
      <c r="Z32" s="32"/>
      <c r="AB32" s="135" t="str">
        <f>P78</f>
        <v>15.06.2026</v>
      </c>
      <c r="AC32" s="135"/>
      <c r="AD32" s="135"/>
      <c r="AE32" s="135"/>
      <c r="AF32" s="135"/>
      <c r="AG32" s="135"/>
      <c r="AH32" s="135"/>
      <c r="AI32" s="135"/>
      <c r="AJ32" s="13" t="s">
        <v>6</v>
      </c>
    </row>
    <row r="33" spans="1:52" s="14" customFormat="1" ht="9" customHeight="1" x14ac:dyDescent="0.15">
      <c r="Y33" s="15"/>
      <c r="Z33" s="16"/>
      <c r="AA33" s="15"/>
      <c r="AB33" s="137" t="s">
        <v>17</v>
      </c>
      <c r="AC33" s="137"/>
      <c r="AD33" s="137"/>
      <c r="AE33" s="137"/>
      <c r="AF33" s="137"/>
      <c r="AG33" s="137"/>
      <c r="AH33" s="137"/>
      <c r="AI33" s="137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3" t="s">
        <v>46</v>
      </c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</row>
    <row r="36" spans="1:52" s="13" customFormat="1" ht="25.5" customHeight="1" x14ac:dyDescent="0.2">
      <c r="A36" s="132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</row>
    <row r="37" spans="1:52" s="14" customFormat="1" ht="28.5" customHeight="1" x14ac:dyDescent="0.15">
      <c r="A37" s="128" t="s">
        <v>47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52" s="13" customFormat="1" ht="21.75" customHeight="1" x14ac:dyDescent="0.2">
      <c r="A38" s="132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</row>
    <row r="39" spans="1:52" s="14" customFormat="1" ht="25.5" customHeight="1" x14ac:dyDescent="0.2">
      <c r="A39" s="138" t="s">
        <v>48</v>
      </c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0" t="str">
        <f>'Данные объект'!C21</f>
        <v>Прораб ООО"Энергосистемы" Волков М.Ю..Приказ №05-ОТ/24 от 09 января 2024г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</row>
    <row r="42" spans="1:52" s="14" customFormat="1" ht="9" customHeight="1" x14ac:dyDescent="0.15">
      <c r="A42" s="128" t="s">
        <v>26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</row>
    <row r="43" spans="1:52" s="13" customFormat="1" ht="10.199999999999999" x14ac:dyDescent="0.2">
      <c r="A43" s="133" t="s">
        <v>49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</row>
    <row r="44" spans="1:52" s="31" customFormat="1" ht="22.5" customHeight="1" x14ac:dyDescent="0.25">
      <c r="A44" s="132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</row>
    <row r="45" spans="1:52" s="14" customFormat="1" ht="30" customHeight="1" x14ac:dyDescent="0.15">
      <c r="A45" s="128" t="s">
        <v>50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52" s="14" customFormat="1" ht="10.199999999999999" x14ac:dyDescent="0.2">
      <c r="A46" s="133" t="s">
        <v>181</v>
      </c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</row>
    <row r="47" spans="1:52" s="14" customFormat="1" ht="11.25" customHeight="1" x14ac:dyDescent="0.15">
      <c r="A47" s="132" t="str">
        <f>'Данные объект'!$C$36</f>
        <v xml:space="preserve"> ПАО "Россети Московский регион" </v>
      </c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</row>
    <row r="48" spans="1:52" s="14" customFormat="1" ht="7.8" x14ac:dyDescent="0.15">
      <c r="A48" s="128" t="s">
        <v>26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6" s="13" customFormat="1" ht="35.25" customHeight="1" x14ac:dyDescent="0.2">
      <c r="A49" s="134" t="s">
        <v>51</v>
      </c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</row>
    <row r="50" spans="1:36" s="31" customFormat="1" ht="12.9" customHeight="1" x14ac:dyDescent="0.25">
      <c r="A50" s="130" t="s">
        <v>74</v>
      </c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</row>
    <row r="51" spans="1:36" s="14" customFormat="1" ht="29.25" customHeight="1" x14ac:dyDescent="0.15">
      <c r="A51" s="128" t="s">
        <v>52</v>
      </c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</row>
    <row r="52" spans="1:36" s="13" customFormat="1" ht="25.5" hidden="1" customHeight="1" x14ac:dyDescent="0.2">
      <c r="A52" s="134" t="s">
        <v>53</v>
      </c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</row>
    <row r="53" spans="1:36" s="13" customFormat="1" ht="12" hidden="1" customHeight="1" x14ac:dyDescent="0.2">
      <c r="A53" s="132" t="e">
        <f>CONCATENATE(#REF!,", ",#REF!," - ",#REF!)</f>
        <v>#REF!</v>
      </c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</row>
    <row r="54" spans="1:36" s="14" customFormat="1" ht="9.75" hidden="1" customHeight="1" x14ac:dyDescent="0.15">
      <c r="A54" s="128" t="s">
        <v>29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6" s="13" customFormat="1" ht="12" hidden="1" customHeight="1" x14ac:dyDescent="0.2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</row>
    <row r="56" spans="1:36" s="14" customFormat="1" ht="16.5" hidden="1" customHeight="1" x14ac:dyDescent="0.15">
      <c r="A56" s="128" t="s">
        <v>54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</row>
    <row r="57" spans="1:36" s="13" customFormat="1" ht="12" customHeight="1" x14ac:dyDescent="0.2">
      <c r="A57" s="13" t="s">
        <v>16</v>
      </c>
    </row>
    <row r="58" spans="1:36" s="13" customFormat="1" ht="12.9" customHeight="1" x14ac:dyDescent="0.25">
      <c r="A58" s="127" t="str">
        <f>'Данные объект'!B11</f>
        <v>ООО"Энергосистемы"</v>
      </c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127"/>
      <c r="AJ58" s="127"/>
    </row>
    <row r="59" spans="1:36" s="14" customFormat="1" ht="10.5" customHeight="1" x14ac:dyDescent="0.15">
      <c r="A59" s="142" t="s">
        <v>38</v>
      </c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" customHeight="1" x14ac:dyDescent="0.2">
      <c r="A62" s="151" t="s">
        <v>167</v>
      </c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2" t="str">
        <f>'АОСР-1'!O62</f>
        <v>КЛ-0,4кВ</v>
      </c>
      <c r="O62" s="152"/>
      <c r="P62" s="152"/>
      <c r="Q62" s="71" t="s">
        <v>166</v>
      </c>
      <c r="R62" s="152">
        <v>3</v>
      </c>
      <c r="S62" s="152"/>
      <c r="T62" s="152"/>
      <c r="U62" s="71" t="s">
        <v>92</v>
      </c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</row>
    <row r="63" spans="1:36" s="14" customFormat="1" ht="8.25" customHeight="1" x14ac:dyDescent="0.15">
      <c r="A63" s="153" t="s">
        <v>14</v>
      </c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  <c r="AH63" s="154"/>
      <c r="AI63" s="154"/>
      <c r="AJ63" s="154"/>
    </row>
    <row r="64" spans="1:36" s="13" customFormat="1" ht="12" customHeight="1" x14ac:dyDescent="0.2">
      <c r="A64" s="67" t="s">
        <v>13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</row>
    <row r="65" spans="1:36" s="13" customFormat="1" ht="12" customHeight="1" x14ac:dyDescent="0.2">
      <c r="A65" s="141" t="str">
        <f>'Данные объект'!B43</f>
        <v>4708-308092-125-11/24.ЭС</v>
      </c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</row>
    <row r="66" spans="1:36" s="14" customFormat="1" ht="15" customHeight="1" x14ac:dyDescent="0.15">
      <c r="A66" s="153" t="s">
        <v>39</v>
      </c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</row>
    <row r="67" spans="1:36" s="13" customFormat="1" ht="12" customHeight="1" x14ac:dyDescent="0.25">
      <c r="A67" s="67" t="s">
        <v>12</v>
      </c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</row>
    <row r="68" spans="1:36" s="18" customFormat="1" ht="7.5" customHeight="1" x14ac:dyDescent="0.1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156" t="s">
        <v>55</v>
      </c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</row>
    <row r="69" spans="1:36" s="13" customFormat="1" ht="12" customHeight="1" x14ac:dyDescent="0.2">
      <c r="A69" s="151" t="s">
        <v>210</v>
      </c>
      <c r="B69" s="151"/>
      <c r="C69" s="151"/>
      <c r="D69" s="151"/>
      <c r="E69" s="151"/>
      <c r="F69" s="151"/>
      <c r="G69" s="151"/>
      <c r="H69" s="151"/>
      <c r="I69" s="71" t="s">
        <v>74</v>
      </c>
      <c r="J69" s="152">
        <f>R62</f>
        <v>3</v>
      </c>
      <c r="K69" s="152"/>
      <c r="L69" s="152"/>
      <c r="M69" s="152" t="s">
        <v>92</v>
      </c>
      <c r="N69" s="152"/>
      <c r="O69" s="71" t="s">
        <v>211</v>
      </c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</row>
    <row r="70" spans="1:36" s="14" customFormat="1" ht="18.75" customHeight="1" x14ac:dyDescent="0.15">
      <c r="A70" s="153" t="s">
        <v>56</v>
      </c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  <c r="AC70" s="154"/>
      <c r="AD70" s="154"/>
      <c r="AE70" s="154"/>
      <c r="AF70" s="154"/>
      <c r="AG70" s="154"/>
      <c r="AH70" s="154"/>
      <c r="AI70" s="154"/>
      <c r="AJ70" s="154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5">
      <c r="A72" s="13" t="s">
        <v>10</v>
      </c>
      <c r="G72" s="127" t="s">
        <v>215</v>
      </c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25" t="s">
        <v>88</v>
      </c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</row>
    <row r="73" spans="1:36" s="14" customFormat="1" ht="7.5" customHeight="1" x14ac:dyDescent="0.15">
      <c r="A73" s="146"/>
      <c r="B73" s="146"/>
      <c r="C73" s="20"/>
      <c r="D73" s="20"/>
      <c r="E73" s="20"/>
      <c r="F73" s="20"/>
      <c r="G73" s="129" t="s">
        <v>9</v>
      </c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</row>
    <row r="74" spans="1:36" s="13" customFormat="1" ht="12" customHeight="1" x14ac:dyDescent="0.25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</row>
    <row r="75" spans="1:36" s="14" customFormat="1" ht="7.5" customHeight="1" x14ac:dyDescent="0.15">
      <c r="A75" s="128" t="s">
        <v>31</v>
      </c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5">
      <c r="A77" s="13" t="s">
        <v>8</v>
      </c>
      <c r="D77" s="28"/>
      <c r="E77" s="28"/>
      <c r="F77" s="28"/>
      <c r="G77" s="28"/>
      <c r="L77" s="21"/>
      <c r="M77" s="32"/>
      <c r="N77" s="32"/>
      <c r="P77" s="135" t="str">
        <f>'Данные объект'!B6</f>
        <v>09.06.2026</v>
      </c>
      <c r="Q77" s="135"/>
      <c r="R77" s="135"/>
      <c r="S77" s="135"/>
      <c r="T77" s="135"/>
      <c r="U77" s="135"/>
      <c r="V77" s="135"/>
      <c r="W77" s="135"/>
      <c r="X77" s="13" t="s">
        <v>6</v>
      </c>
    </row>
    <row r="78" spans="1:36" s="13" customFormat="1" ht="12" customHeight="1" x14ac:dyDescent="0.25">
      <c r="A78" s="13" t="s">
        <v>7</v>
      </c>
      <c r="D78" s="28"/>
      <c r="E78" s="28"/>
      <c r="F78" s="28"/>
      <c r="G78" s="28"/>
      <c r="L78" s="21"/>
      <c r="M78" s="32"/>
      <c r="N78" s="32"/>
      <c r="P78" s="145" t="str">
        <f>'Данные объект'!B7</f>
        <v>15.06.2026</v>
      </c>
      <c r="Q78" s="145"/>
      <c r="R78" s="145"/>
      <c r="S78" s="145"/>
      <c r="T78" s="145"/>
      <c r="U78" s="145"/>
      <c r="V78" s="145"/>
      <c r="W78" s="145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5">
      <c r="A81" s="144" t="s">
        <v>103</v>
      </c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</row>
    <row r="82" spans="1:36" s="14" customFormat="1" ht="8.25" customHeight="1" x14ac:dyDescent="0.15">
      <c r="A82" s="128" t="s">
        <v>4</v>
      </c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</row>
    <row r="83" spans="1:36" s="13" customFormat="1" ht="12" customHeight="1" x14ac:dyDescent="0.25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</row>
    <row r="84" spans="1:36" s="14" customFormat="1" ht="8.25" customHeight="1" x14ac:dyDescent="0.15">
      <c r="A84" s="128" t="s">
        <v>57</v>
      </c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5">
      <c r="A86" s="127" t="s">
        <v>93</v>
      </c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</row>
    <row r="87" spans="1:36" s="14" customFormat="1" ht="9" customHeight="1" x14ac:dyDescent="0.15">
      <c r="A87" s="128" t="s">
        <v>32</v>
      </c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</row>
    <row r="88" spans="1:36" s="13" customFormat="1" ht="12" customHeight="1" x14ac:dyDescent="0.25">
      <c r="A88" s="13" t="s">
        <v>2</v>
      </c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5">
      <c r="A90" s="13" t="s">
        <v>87</v>
      </c>
      <c r="H90" s="127"/>
      <c r="I90" s="127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5">
      <c r="A93" s="25" t="s">
        <v>83</v>
      </c>
      <c r="B93" s="25" t="str">
        <f>G72</f>
        <v>Исполнителная схема устройства трубопровода</v>
      </c>
      <c r="C93" s="25"/>
      <c r="D93" s="25"/>
      <c r="E93" s="25"/>
      <c r="F93" s="25"/>
      <c r="G93" s="25"/>
      <c r="H93" s="25"/>
      <c r="I93" s="25"/>
      <c r="J93" s="25"/>
      <c r="K93" s="25"/>
      <c r="L93" s="26"/>
      <c r="M93" s="25"/>
      <c r="N93" s="25"/>
      <c r="O93" s="25"/>
      <c r="P93" s="26" t="s">
        <v>74</v>
      </c>
      <c r="Q93" s="25" t="s">
        <v>84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5">
      <c r="A94" s="33" t="s">
        <v>85</v>
      </c>
      <c r="B94" s="150" t="str">
        <f>O69</f>
        <v>Сертификат соответствия №04ИДЮ137.RU.C00917 от 14.09.2024г.</v>
      </c>
      <c r="C94" s="150"/>
      <c r="D94" s="150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29" t="s">
        <v>74</v>
      </c>
      <c r="V94" s="33" t="s">
        <v>84</v>
      </c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28" t="s">
        <v>0</v>
      </c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5">
      <c r="A99" s="127" t="str">
        <f>'Данные объект'!B33</f>
        <v>Алексанян Г.Р.</v>
      </c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27"/>
      <c r="AC99" s="127"/>
      <c r="AD99" s="127"/>
      <c r="AE99" s="127"/>
      <c r="AF99" s="127"/>
      <c r="AG99" s="127"/>
      <c r="AH99" s="127"/>
      <c r="AI99" s="127"/>
      <c r="AJ99" s="127"/>
    </row>
    <row r="100" spans="1:36" s="14" customFormat="1" ht="9" customHeight="1" x14ac:dyDescent="0.15">
      <c r="A100" s="142" t="s">
        <v>35</v>
      </c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43" t="s">
        <v>34</v>
      </c>
      <c r="AC100" s="143"/>
      <c r="AD100" s="143"/>
      <c r="AE100" s="143"/>
      <c r="AF100" s="143"/>
      <c r="AG100" s="143"/>
      <c r="AH100" s="143"/>
      <c r="AI100" s="143"/>
      <c r="AJ100" s="143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5">
      <c r="A102" s="127" t="str">
        <f>'Данные объект'!B20</f>
        <v>Волков М.Ю.</v>
      </c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27"/>
      <c r="AC102" s="127"/>
      <c r="AD102" s="127"/>
      <c r="AE102" s="127"/>
      <c r="AF102" s="127"/>
      <c r="AG102" s="127"/>
      <c r="AH102" s="127"/>
      <c r="AI102" s="127"/>
      <c r="AJ102" s="127"/>
    </row>
    <row r="103" spans="1:36" s="14" customFormat="1" ht="9" customHeight="1" x14ac:dyDescent="0.15">
      <c r="A103" s="142" t="s">
        <v>35</v>
      </c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43" t="s">
        <v>34</v>
      </c>
      <c r="AC103" s="143"/>
      <c r="AD103" s="143"/>
      <c r="AE103" s="143"/>
      <c r="AF103" s="143"/>
      <c r="AG103" s="143"/>
      <c r="AH103" s="143"/>
      <c r="AI103" s="143"/>
      <c r="AJ103" s="143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5">
      <c r="A106" s="127" t="str">
        <f>'Данные объект'!B17</f>
        <v>Русин В.А.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27"/>
      <c r="AC106" s="127"/>
      <c r="AD106" s="127"/>
      <c r="AE106" s="127"/>
      <c r="AF106" s="127"/>
      <c r="AG106" s="127"/>
      <c r="AH106" s="127"/>
      <c r="AI106" s="127"/>
      <c r="AJ106" s="127"/>
    </row>
    <row r="107" spans="1:36" s="14" customFormat="1" ht="9" customHeight="1" x14ac:dyDescent="0.15">
      <c r="A107" s="142" t="s">
        <v>35</v>
      </c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43" t="s">
        <v>34</v>
      </c>
      <c r="AC107" s="143"/>
      <c r="AD107" s="143"/>
      <c r="AE107" s="143"/>
      <c r="AF107" s="143"/>
      <c r="AG107" s="143"/>
      <c r="AH107" s="143"/>
      <c r="AI107" s="143"/>
      <c r="AJ107" s="143"/>
    </row>
    <row r="108" spans="1:36" s="14" customFormat="1" ht="10.199999999999999" x14ac:dyDescent="0.2">
      <c r="A108" s="13" t="s">
        <v>182</v>
      </c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91"/>
      <c r="Q108" s="91"/>
      <c r="R108" s="91"/>
      <c r="S108" s="91"/>
      <c r="T108" s="91"/>
      <c r="U108" s="92"/>
      <c r="V108" s="92"/>
      <c r="W108" s="92"/>
      <c r="X108" s="92"/>
      <c r="Y108" s="92"/>
      <c r="Z108" s="92"/>
      <c r="AA108" s="92"/>
      <c r="AB108" s="83"/>
      <c r="AC108" s="83"/>
      <c r="AD108" s="83"/>
      <c r="AE108" s="83"/>
      <c r="AF108" s="83"/>
      <c r="AG108" s="83"/>
      <c r="AH108" s="83"/>
      <c r="AI108" s="83"/>
      <c r="AJ108" s="83"/>
    </row>
    <row r="109" spans="1:36" s="14" customFormat="1" ht="10.8" x14ac:dyDescent="0.25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91"/>
      <c r="Q109" s="91"/>
      <c r="R109" s="91"/>
      <c r="S109" s="91"/>
      <c r="T109" s="91"/>
      <c r="U109" s="92"/>
      <c r="V109" s="92"/>
      <c r="W109" s="92"/>
      <c r="X109" s="92"/>
      <c r="Y109" s="92"/>
      <c r="Z109" s="92"/>
      <c r="AA109" s="92"/>
      <c r="AB109" s="127"/>
      <c r="AC109" s="127"/>
      <c r="AD109" s="127"/>
      <c r="AE109" s="127"/>
      <c r="AF109" s="127"/>
      <c r="AG109" s="127"/>
      <c r="AH109" s="127"/>
      <c r="AI109" s="127"/>
      <c r="AJ109" s="127"/>
    </row>
    <row r="110" spans="1:36" s="14" customFormat="1" ht="9.6" x14ac:dyDescent="0.15">
      <c r="A110" s="142" t="s">
        <v>35</v>
      </c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91"/>
      <c r="Q110" s="91"/>
      <c r="R110" s="91"/>
      <c r="S110" s="91"/>
      <c r="T110" s="91"/>
      <c r="U110" s="92"/>
      <c r="V110" s="92"/>
      <c r="W110" s="92"/>
      <c r="X110" s="92"/>
      <c r="Y110" s="92"/>
      <c r="Z110" s="92"/>
      <c r="AA110" s="92"/>
      <c r="AB110" s="143" t="s">
        <v>34</v>
      </c>
      <c r="AC110" s="143"/>
      <c r="AD110" s="143"/>
      <c r="AE110" s="143"/>
      <c r="AF110" s="143"/>
      <c r="AG110" s="143"/>
      <c r="AH110" s="143"/>
      <c r="AI110" s="143"/>
      <c r="AJ110" s="143"/>
    </row>
    <row r="111" spans="1:36" s="13" customFormat="1" ht="38.25" customHeight="1" x14ac:dyDescent="0.2">
      <c r="A111" s="134" t="s">
        <v>51</v>
      </c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34"/>
      <c r="AJ111" s="134"/>
    </row>
    <row r="112" spans="1:36" s="13" customFormat="1" ht="12" customHeight="1" x14ac:dyDescent="0.25">
      <c r="A112" s="127" t="s">
        <v>74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27" t="s">
        <v>74</v>
      </c>
      <c r="AC112" s="127"/>
      <c r="AD112" s="127"/>
      <c r="AE112" s="127"/>
      <c r="AF112" s="127"/>
      <c r="AG112" s="127"/>
      <c r="AH112" s="127"/>
      <c r="AI112" s="127"/>
      <c r="AJ112" s="127"/>
    </row>
    <row r="113" spans="1:36" s="14" customFormat="1" ht="9" customHeight="1" x14ac:dyDescent="0.15">
      <c r="A113" s="142" t="s">
        <v>35</v>
      </c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43" t="s">
        <v>34</v>
      </c>
      <c r="AC113" s="143"/>
      <c r="AD113" s="143"/>
      <c r="AE113" s="143"/>
      <c r="AF113" s="143"/>
      <c r="AG113" s="143"/>
      <c r="AH113" s="143"/>
      <c r="AI113" s="143"/>
      <c r="AJ113" s="143"/>
    </row>
    <row r="114" spans="1:36" s="13" customFormat="1" ht="24.75" hidden="1" customHeight="1" x14ac:dyDescent="0.2">
      <c r="A114" s="134" t="s">
        <v>53</v>
      </c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  <c r="AE114" s="134"/>
      <c r="AF114" s="134"/>
      <c r="AG114" s="134"/>
      <c r="AH114" s="134"/>
      <c r="AI114" s="134"/>
      <c r="AJ114" s="134"/>
    </row>
    <row r="115" spans="1:36" s="13" customFormat="1" ht="12" hidden="1" customHeight="1" x14ac:dyDescent="0.25">
      <c r="A115" s="127" t="e">
        <f>#REF!</f>
        <v>#REF!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27"/>
      <c r="AC115" s="127"/>
      <c r="AD115" s="127"/>
      <c r="AE115" s="127"/>
      <c r="AF115" s="127"/>
      <c r="AG115" s="127"/>
      <c r="AH115" s="127"/>
      <c r="AI115" s="127"/>
      <c r="AJ115" s="127"/>
    </row>
    <row r="116" spans="1:36" s="14" customFormat="1" ht="9" hidden="1" customHeight="1" x14ac:dyDescent="0.15">
      <c r="A116" s="142" t="s">
        <v>35</v>
      </c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43" t="s">
        <v>34</v>
      </c>
      <c r="AC116" s="143"/>
      <c r="AD116" s="143"/>
      <c r="AE116" s="143"/>
      <c r="AF116" s="143"/>
      <c r="AG116" s="143"/>
      <c r="AH116" s="143"/>
      <c r="AI116" s="143"/>
      <c r="AJ116" s="143"/>
    </row>
    <row r="117" spans="1:36" ht="12" customHeight="1" x14ac:dyDescent="0.25"/>
  </sheetData>
  <mergeCells count="106">
    <mergeCell ref="A49:AJ49"/>
    <mergeCell ref="A50:AJ50"/>
    <mergeCell ref="A19:AJ19"/>
    <mergeCell ref="A20:AJ20"/>
    <mergeCell ref="A22:AJ22"/>
    <mergeCell ref="A23:AJ23"/>
    <mergeCell ref="A24:AJ24"/>
    <mergeCell ref="A4:AJ4"/>
    <mergeCell ref="A5:AJ5"/>
    <mergeCell ref="A6:AJ6"/>
    <mergeCell ref="A8:AJ8"/>
    <mergeCell ref="E32:G32"/>
    <mergeCell ref="A15:AJ15"/>
    <mergeCell ref="A16:AJ16"/>
    <mergeCell ref="A9:AJ9"/>
    <mergeCell ref="A10:AJ10"/>
    <mergeCell ref="A11:AJ11"/>
    <mergeCell ref="A12:AJ12"/>
    <mergeCell ref="A13:AJ13"/>
    <mergeCell ref="AB32:AI32"/>
    <mergeCell ref="A25:AJ25"/>
    <mergeCell ref="A26:AJ26"/>
    <mergeCell ref="A27:AJ27"/>
    <mergeCell ref="A29:AJ29"/>
    <mergeCell ref="A46:AJ46"/>
    <mergeCell ref="A44:AJ44"/>
    <mergeCell ref="A17:AJ17"/>
    <mergeCell ref="A18:AJ18"/>
    <mergeCell ref="A41:AJ41"/>
    <mergeCell ref="A42:AJ42"/>
    <mergeCell ref="A43:AJ43"/>
    <mergeCell ref="A7:AJ7"/>
    <mergeCell ref="AB33:AI33"/>
    <mergeCell ref="A30:AJ30"/>
    <mergeCell ref="A35:AJ35"/>
    <mergeCell ref="A36:AJ36"/>
    <mergeCell ref="A37:AJ37"/>
    <mergeCell ref="A38:AJ38"/>
    <mergeCell ref="A39:AJ39"/>
    <mergeCell ref="A45:AJ45"/>
    <mergeCell ref="L88:AJ88"/>
    <mergeCell ref="AB100:AJ100"/>
    <mergeCell ref="H90:I90"/>
    <mergeCell ref="A95:AJ95"/>
    <mergeCell ref="A99:O99"/>
    <mergeCell ref="AB99:AJ99"/>
    <mergeCell ref="AB102:AJ102"/>
    <mergeCell ref="A100:O100"/>
    <mergeCell ref="A102:O102"/>
    <mergeCell ref="A87:AJ87"/>
    <mergeCell ref="G72:U72"/>
    <mergeCell ref="W72:AJ72"/>
    <mergeCell ref="A73:B73"/>
    <mergeCell ref="G73:AJ73"/>
    <mergeCell ref="A74:AJ74"/>
    <mergeCell ref="A75:AJ75"/>
    <mergeCell ref="A81:AJ81"/>
    <mergeCell ref="A82:AJ82"/>
    <mergeCell ref="A83:AJ83"/>
    <mergeCell ref="A84:AJ84"/>
    <mergeCell ref="A86:AJ86"/>
    <mergeCell ref="A47:AJ47"/>
    <mergeCell ref="A48:AJ48"/>
    <mergeCell ref="A53:AJ53"/>
    <mergeCell ref="P78:W78"/>
    <mergeCell ref="A62:M62"/>
    <mergeCell ref="N62:P62"/>
    <mergeCell ref="R62:T62"/>
    <mergeCell ref="A69:H69"/>
    <mergeCell ref="J69:L69"/>
    <mergeCell ref="M69:N69"/>
    <mergeCell ref="A58:AJ58"/>
    <mergeCell ref="A59:AJ59"/>
    <mergeCell ref="A63:AJ63"/>
    <mergeCell ref="P67:AJ67"/>
    <mergeCell ref="A54:AJ54"/>
    <mergeCell ref="A55:AJ55"/>
    <mergeCell ref="A56:AJ56"/>
    <mergeCell ref="A65:AJ65"/>
    <mergeCell ref="A66:AJ66"/>
    <mergeCell ref="P77:W77"/>
    <mergeCell ref="P68:AJ68"/>
    <mergeCell ref="A70:AJ70"/>
    <mergeCell ref="A51:AJ51"/>
    <mergeCell ref="A52:AJ52"/>
    <mergeCell ref="B94:T94"/>
    <mergeCell ref="A116:O116"/>
    <mergeCell ref="AB116:AJ116"/>
    <mergeCell ref="A111:AJ111"/>
    <mergeCell ref="A112:O112"/>
    <mergeCell ref="AB112:AJ112"/>
    <mergeCell ref="A113:O113"/>
    <mergeCell ref="AB113:AJ113"/>
    <mergeCell ref="A114:AJ114"/>
    <mergeCell ref="A106:O106"/>
    <mergeCell ref="AB106:AJ106"/>
    <mergeCell ref="A107:O107"/>
    <mergeCell ref="AB107:AJ107"/>
    <mergeCell ref="A115:O115"/>
    <mergeCell ref="AB115:AJ115"/>
    <mergeCell ref="A109:O109"/>
    <mergeCell ref="AB109:AJ109"/>
    <mergeCell ref="A110:O110"/>
    <mergeCell ref="AB110:AJ110"/>
    <mergeCell ref="A103:O103"/>
    <mergeCell ref="AB103:AJ103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Z117"/>
  <sheetViews>
    <sheetView tabSelected="1" view="pageBreakPreview" topLeftCell="A51" zoomScale="125" zoomScaleNormal="125" zoomScaleSheetLayoutView="125" workbookViewId="0">
      <selection activeCell="AQ42" sqref="AQ42"/>
    </sheetView>
  </sheetViews>
  <sheetFormatPr defaultColWidth="10.6640625" defaultRowHeight="13.8" x14ac:dyDescent="0.25"/>
  <cols>
    <col min="1" max="31" width="2.77734375" style="1" customWidth="1"/>
    <col min="32" max="32" width="3" style="1" customWidth="1"/>
    <col min="33" max="51" width="2.7773437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1.5" customHeight="1" x14ac:dyDescent="0.2">
      <c r="A4" s="132" t="str">
        <f>'Данные объект'!B3</f>
        <v>Строительство ТП - 6/0,4кВ, ВЛЗ-6 кВ от ВЛЗ-6кВ ф. ЦРП-48 - ТП-326 ПС №387 "Подрезково", ВЛИ-0,38 кВ, рлр, ВРЩ-0,4 кВ, в т.ч. ПИР, МО, Химкинский р-н, г. Химки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</row>
    <row r="5" spans="1:43" s="13" customFormat="1" ht="12" customHeight="1" x14ac:dyDescent="0.2">
      <c r="A5" s="130" t="str">
        <f>'Данные объект'!B9</f>
        <v>КЛ-0,4кВ ф.1 от КТП №1542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</row>
    <row r="6" spans="1:43" s="14" customFormat="1" ht="7.8" x14ac:dyDescent="0.15">
      <c r="A6" s="128" t="s">
        <v>183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</row>
    <row r="7" spans="1:43" s="13" customFormat="1" ht="12.75" customHeight="1" x14ac:dyDescent="0.2">
      <c r="A7" s="133" t="s">
        <v>42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</row>
    <row r="8" spans="1:43" s="13" customFormat="1" ht="12" customHeight="1" x14ac:dyDescent="0.2">
      <c r="A8" s="130" t="str">
        <f>'Данные объект'!B23</f>
        <v>ПАО "Россети Московский регион"</v>
      </c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</row>
    <row r="9" spans="1:43" s="14" customFormat="1" ht="19.5" customHeight="1" x14ac:dyDescent="0.15">
      <c r="A9" s="128" t="s">
        <v>58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</row>
    <row r="10" spans="1:43" s="13" customFormat="1" ht="12" customHeight="1" x14ac:dyDescent="0.2">
      <c r="A10" s="130" t="str">
        <f>'Данные объект'!B24</f>
        <v>ОГРН 1057746555811 ИНН 5036065113 КПП 772501001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</row>
    <row r="11" spans="1:43" s="14" customFormat="1" ht="28.5" customHeight="1" x14ac:dyDescent="0.15">
      <c r="A11" s="128" t="s">
        <v>59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</row>
    <row r="12" spans="1:43" s="13" customFormat="1" ht="12" customHeight="1" x14ac:dyDescent="0.2">
      <c r="A12" s="130" t="str">
        <f>'Данные объект'!B25</f>
        <v>115114, город Москва, проезд Павелецкий 2-й, дом 3, строение 2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</row>
    <row r="13" spans="1:43" s="14" customFormat="1" ht="11.25" customHeight="1" x14ac:dyDescent="0.15">
      <c r="A13" s="128" t="s">
        <v>43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0" t="str">
        <f>'Данные объект'!B11</f>
        <v>ООО"Энергосистемы"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</row>
    <row r="16" spans="1:43" s="14" customFormat="1" ht="9.75" customHeight="1" x14ac:dyDescent="0.15">
      <c r="A16" s="128" t="s">
        <v>37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</row>
    <row r="17" spans="1:36" s="13" customFormat="1" ht="12" customHeight="1" x14ac:dyDescent="0.2">
      <c r="A17" s="130" t="str">
        <f>'Данные объект'!B12</f>
        <v>ОГРН 1135044003709  ИНН 5044089069 КПП 504401001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</row>
    <row r="18" spans="1:36" s="14" customFormat="1" ht="8.25" customHeight="1" x14ac:dyDescent="0.15">
      <c r="A18" s="128" t="s">
        <v>44</v>
      </c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</row>
    <row r="19" spans="1:36" s="13" customFormat="1" ht="12" customHeight="1" x14ac:dyDescent="0.2">
      <c r="A19" s="130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</row>
    <row r="20" spans="1:36" s="14" customFormat="1" ht="27" customHeight="1" x14ac:dyDescent="0.15">
      <c r="A20" s="128" t="s">
        <v>60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0" t="str">
        <f>'Данные объект'!B39</f>
        <v>ООО"Энергосистемы"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</row>
    <row r="23" spans="1:36" s="14" customFormat="1" ht="7.5" customHeight="1" x14ac:dyDescent="0.15">
      <c r="A23" s="128" t="s">
        <v>37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</row>
    <row r="24" spans="1:36" s="13" customFormat="1" ht="12" customHeight="1" x14ac:dyDescent="0.2">
      <c r="A24" s="130" t="str">
        <f>'Данные объект'!B40</f>
        <v>ОГРН 1135044003709  ИНН 5044089069 КПП 504401001</v>
      </c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</row>
    <row r="25" spans="1:36" s="14" customFormat="1" ht="7.5" customHeight="1" x14ac:dyDescent="0.15">
      <c r="A25" s="128" t="s">
        <v>61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</row>
    <row r="26" spans="1:36" s="13" customFormat="1" ht="12" customHeight="1" x14ac:dyDescent="0.2">
      <c r="A26" s="130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</row>
    <row r="27" spans="1:36" s="14" customFormat="1" ht="22.5" customHeight="1" x14ac:dyDescent="0.15">
      <c r="A27" s="128" t="s">
        <v>45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" customHeight="1" x14ac:dyDescent="0.2">
      <c r="A29" s="131" t="s">
        <v>36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</row>
    <row r="30" spans="1:36" s="13" customFormat="1" ht="12.9" customHeight="1" x14ac:dyDescent="0.2">
      <c r="A30" s="136" t="s">
        <v>19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" customHeight="1" x14ac:dyDescent="0.25">
      <c r="A32" s="24"/>
      <c r="B32" s="24" t="s">
        <v>18</v>
      </c>
      <c r="C32" s="25">
        <f>'АОСР-3'!C32+1</f>
        <v>2</v>
      </c>
      <c r="D32" s="25"/>
      <c r="E32" s="127" t="s">
        <v>209</v>
      </c>
      <c r="F32" s="127"/>
      <c r="G32" s="127"/>
      <c r="H32" s="27"/>
      <c r="I32" s="27"/>
      <c r="J32" s="27"/>
      <c r="X32" s="21"/>
      <c r="Y32" s="32"/>
      <c r="Z32" s="32"/>
      <c r="AB32" s="135" t="str">
        <f>P78</f>
        <v>15.06.2026</v>
      </c>
      <c r="AC32" s="135"/>
      <c r="AD32" s="135"/>
      <c r="AE32" s="135"/>
      <c r="AF32" s="135"/>
      <c r="AG32" s="135"/>
      <c r="AH32" s="135"/>
      <c r="AI32" s="135"/>
      <c r="AJ32" s="13" t="s">
        <v>6</v>
      </c>
    </row>
    <row r="33" spans="1:52" s="14" customFormat="1" ht="9" customHeight="1" x14ac:dyDescent="0.15">
      <c r="Y33" s="15"/>
      <c r="Z33" s="16"/>
      <c r="AA33" s="15"/>
      <c r="AB33" s="137" t="s">
        <v>17</v>
      </c>
      <c r="AC33" s="137"/>
      <c r="AD33" s="137"/>
      <c r="AE33" s="137"/>
      <c r="AF33" s="137"/>
      <c r="AG33" s="137"/>
      <c r="AH33" s="137"/>
      <c r="AI33" s="137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3" t="s">
        <v>46</v>
      </c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</row>
    <row r="36" spans="1:52" s="13" customFormat="1" ht="25.5" customHeight="1" x14ac:dyDescent="0.2">
      <c r="A36" s="132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</row>
    <row r="37" spans="1:52" s="14" customFormat="1" ht="28.5" customHeight="1" x14ac:dyDescent="0.15">
      <c r="A37" s="128" t="s">
        <v>47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52" s="13" customFormat="1" ht="21.75" customHeight="1" x14ac:dyDescent="0.2">
      <c r="A38" s="132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</row>
    <row r="39" spans="1:52" s="14" customFormat="1" ht="25.5" customHeight="1" x14ac:dyDescent="0.2">
      <c r="A39" s="138" t="s">
        <v>48</v>
      </c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0" t="str">
        <f>'Данные объект'!C21</f>
        <v>Прораб ООО"Энергосистемы" Волков М.Ю..Приказ №05-ОТ/24 от 09 января 2024г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</row>
    <row r="42" spans="1:52" s="14" customFormat="1" ht="9" customHeight="1" x14ac:dyDescent="0.15">
      <c r="A42" s="128" t="s">
        <v>26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</row>
    <row r="43" spans="1:52" s="13" customFormat="1" ht="17.25" customHeight="1" x14ac:dyDescent="0.2">
      <c r="A43" s="133" t="s">
        <v>49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</row>
    <row r="44" spans="1:52" s="31" customFormat="1" ht="22.5" customHeight="1" x14ac:dyDescent="0.25">
      <c r="A44" s="132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</row>
    <row r="45" spans="1:52" s="14" customFormat="1" ht="30" customHeight="1" x14ac:dyDescent="0.15">
      <c r="A45" s="128" t="s">
        <v>50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52" s="14" customFormat="1" ht="10.199999999999999" x14ac:dyDescent="0.2">
      <c r="A46" s="133" t="s">
        <v>181</v>
      </c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</row>
    <row r="47" spans="1:52" s="14" customFormat="1" ht="11.25" customHeight="1" x14ac:dyDescent="0.15">
      <c r="A47" s="132" t="str">
        <f>'Данные объект'!$C$36</f>
        <v xml:space="preserve"> ПАО "Россети Московский регион" </v>
      </c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</row>
    <row r="48" spans="1:52" s="14" customFormat="1" ht="7.8" x14ac:dyDescent="0.15">
      <c r="A48" s="128" t="s">
        <v>26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6" s="13" customFormat="1" ht="35.25" customHeight="1" x14ac:dyDescent="0.2">
      <c r="A49" s="134" t="s">
        <v>51</v>
      </c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</row>
    <row r="50" spans="1:36" s="31" customFormat="1" ht="12.9" customHeight="1" x14ac:dyDescent="0.25">
      <c r="A50" s="130" t="s">
        <v>74</v>
      </c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</row>
    <row r="51" spans="1:36" s="14" customFormat="1" ht="29.25" customHeight="1" x14ac:dyDescent="0.15">
      <c r="A51" s="128" t="s">
        <v>52</v>
      </c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</row>
    <row r="52" spans="1:36" s="13" customFormat="1" ht="25.5" hidden="1" customHeight="1" x14ac:dyDescent="0.2">
      <c r="A52" s="134" t="s">
        <v>53</v>
      </c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</row>
    <row r="53" spans="1:36" s="13" customFormat="1" ht="12" hidden="1" customHeight="1" x14ac:dyDescent="0.2">
      <c r="A53" s="132" t="e">
        <f>CONCATENATE(#REF!,", ",#REF!," - ",#REF!)</f>
        <v>#REF!</v>
      </c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</row>
    <row r="54" spans="1:36" s="14" customFormat="1" ht="9.75" hidden="1" customHeight="1" x14ac:dyDescent="0.15">
      <c r="A54" s="128" t="s">
        <v>29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6" s="13" customFormat="1" ht="12" hidden="1" customHeight="1" x14ac:dyDescent="0.2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</row>
    <row r="56" spans="1:36" s="14" customFormat="1" ht="16.5" hidden="1" customHeight="1" x14ac:dyDescent="0.15">
      <c r="A56" s="128" t="s">
        <v>54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</row>
    <row r="57" spans="1:36" s="13" customFormat="1" ht="12" customHeight="1" x14ac:dyDescent="0.2">
      <c r="A57" s="13" t="s">
        <v>16</v>
      </c>
    </row>
    <row r="58" spans="1:36" s="13" customFormat="1" ht="12.9" customHeight="1" x14ac:dyDescent="0.25">
      <c r="A58" s="127" t="str">
        <f>'Данные объект'!B11</f>
        <v>ООО"Энергосистемы"</v>
      </c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127"/>
      <c r="AJ58" s="127"/>
    </row>
    <row r="59" spans="1:36" s="14" customFormat="1" ht="10.5" customHeight="1" x14ac:dyDescent="0.15">
      <c r="A59" s="142" t="s">
        <v>38</v>
      </c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" customHeight="1" x14ac:dyDescent="0.2">
      <c r="A62" s="148" t="s">
        <v>93</v>
      </c>
      <c r="B62" s="148"/>
      <c r="C62" s="148"/>
      <c r="D62" s="148"/>
      <c r="E62" s="148"/>
      <c r="F62" s="148"/>
      <c r="G62" s="73"/>
      <c r="H62" s="141" t="s">
        <v>212</v>
      </c>
      <c r="I62" s="141"/>
      <c r="J62" s="141"/>
      <c r="K62" s="141"/>
      <c r="L62" s="141"/>
      <c r="M62" s="141"/>
      <c r="N62" s="74"/>
      <c r="O62" s="78" t="s">
        <v>74</v>
      </c>
      <c r="P62" s="157">
        <v>4</v>
      </c>
      <c r="Q62" s="157"/>
      <c r="R62" s="157"/>
      <c r="S62" s="157"/>
      <c r="T62" s="76" t="s">
        <v>92</v>
      </c>
      <c r="U62" s="77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</row>
    <row r="63" spans="1:36" s="14" customFormat="1" ht="8.25" customHeight="1" x14ac:dyDescent="0.15">
      <c r="A63" s="153" t="s">
        <v>14</v>
      </c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  <c r="AH63" s="154"/>
      <c r="AI63" s="154"/>
      <c r="AJ63" s="154"/>
    </row>
    <row r="64" spans="1:36" s="13" customFormat="1" ht="12" customHeight="1" x14ac:dyDescent="0.2">
      <c r="A64" s="67" t="s">
        <v>13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</row>
    <row r="65" spans="1:37" s="13" customFormat="1" ht="12" customHeight="1" x14ac:dyDescent="0.2">
      <c r="A65" s="141" t="str">
        <f>'Данные объект'!B43</f>
        <v>4708-308092-125-11/24.ЭС</v>
      </c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</row>
    <row r="66" spans="1:37" s="14" customFormat="1" ht="15" customHeight="1" x14ac:dyDescent="0.15">
      <c r="A66" s="153" t="s">
        <v>39</v>
      </c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</row>
    <row r="67" spans="1:37" s="13" customFormat="1" ht="12" customHeight="1" x14ac:dyDescent="0.25">
      <c r="A67" s="67" t="s">
        <v>12</v>
      </c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</row>
    <row r="68" spans="1:37" s="18" customFormat="1" ht="7.5" customHeight="1" x14ac:dyDescent="0.1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156" t="s">
        <v>55</v>
      </c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</row>
    <row r="69" spans="1:37" s="13" customFormat="1" ht="12" customHeight="1" x14ac:dyDescent="0.2">
      <c r="A69" s="151" t="s">
        <v>96</v>
      </c>
      <c r="B69" s="151"/>
      <c r="C69" s="151"/>
      <c r="D69" s="141" t="str">
        <f>H62</f>
        <v>АВБШв 4х95</v>
      </c>
      <c r="E69" s="141"/>
      <c r="F69" s="141"/>
      <c r="G69" s="141"/>
      <c r="H69" s="141"/>
      <c r="I69" s="141"/>
      <c r="J69" s="71" t="s">
        <v>74</v>
      </c>
      <c r="K69" s="141">
        <f>P62</f>
        <v>4</v>
      </c>
      <c r="L69" s="141"/>
      <c r="M69" s="141"/>
      <c r="N69" s="141"/>
      <c r="O69" s="74" t="s">
        <v>92</v>
      </c>
      <c r="P69" s="77"/>
      <c r="Q69" s="114" t="s">
        <v>213</v>
      </c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77"/>
      <c r="AH69" s="77"/>
      <c r="AI69" s="77"/>
      <c r="AJ69" s="77"/>
      <c r="AK69" s="67"/>
    </row>
    <row r="70" spans="1:37" s="14" customFormat="1" ht="18.75" customHeight="1" x14ac:dyDescent="0.15">
      <c r="A70" s="128" t="s">
        <v>56</v>
      </c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</row>
    <row r="71" spans="1:37" s="13" customFormat="1" ht="12" customHeight="1" x14ac:dyDescent="0.2">
      <c r="A71" s="13" t="s">
        <v>11</v>
      </c>
    </row>
    <row r="72" spans="1:37" s="13" customFormat="1" ht="12" customHeight="1" x14ac:dyDescent="0.25">
      <c r="A72" s="13" t="s">
        <v>10</v>
      </c>
      <c r="G72" s="127" t="s">
        <v>216</v>
      </c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25" t="s">
        <v>88</v>
      </c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</row>
    <row r="73" spans="1:37" s="14" customFormat="1" ht="7.5" customHeight="1" x14ac:dyDescent="0.15">
      <c r="A73" s="146"/>
      <c r="B73" s="146"/>
      <c r="C73" s="20"/>
      <c r="D73" s="20"/>
      <c r="E73" s="20"/>
      <c r="F73" s="20"/>
      <c r="G73" s="129" t="s">
        <v>9</v>
      </c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</row>
    <row r="74" spans="1:37" s="13" customFormat="1" ht="12" customHeight="1" x14ac:dyDescent="0.25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</row>
    <row r="75" spans="1:37" s="14" customFormat="1" ht="7.5" customHeight="1" x14ac:dyDescent="0.15">
      <c r="A75" s="128" t="s">
        <v>31</v>
      </c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</row>
    <row r="76" spans="1:37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7" s="13" customFormat="1" ht="12" customHeight="1" x14ac:dyDescent="0.25">
      <c r="A77" s="13" t="s">
        <v>8</v>
      </c>
      <c r="D77" s="28"/>
      <c r="E77" s="28"/>
      <c r="F77" s="28"/>
      <c r="G77" s="28"/>
      <c r="L77" s="21"/>
      <c r="M77" s="32"/>
      <c r="N77" s="32"/>
      <c r="P77" s="135" t="str">
        <f>'Данные объект'!B6</f>
        <v>09.06.2026</v>
      </c>
      <c r="Q77" s="135"/>
      <c r="R77" s="135"/>
      <c r="S77" s="135"/>
      <c r="T77" s="135"/>
      <c r="U77" s="135"/>
      <c r="V77" s="135"/>
      <c r="W77" s="135"/>
      <c r="X77" s="13" t="s">
        <v>6</v>
      </c>
    </row>
    <row r="78" spans="1:37" s="13" customFormat="1" ht="12" customHeight="1" x14ac:dyDescent="0.25">
      <c r="A78" s="13" t="s">
        <v>7</v>
      </c>
      <c r="D78" s="28"/>
      <c r="E78" s="28"/>
      <c r="F78" s="28"/>
      <c r="G78" s="28"/>
      <c r="L78" s="21"/>
      <c r="M78" s="32"/>
      <c r="N78" s="32"/>
      <c r="P78" s="145" t="str">
        <f>'Данные объект'!B7</f>
        <v>15.06.2026</v>
      </c>
      <c r="Q78" s="145"/>
      <c r="R78" s="145"/>
      <c r="S78" s="145"/>
      <c r="T78" s="145"/>
      <c r="U78" s="145"/>
      <c r="V78" s="145"/>
      <c r="W78" s="145"/>
      <c r="X78" s="13" t="s">
        <v>6</v>
      </c>
    </row>
    <row r="79" spans="1:37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7" s="13" customFormat="1" ht="12" customHeight="1" x14ac:dyDescent="0.2">
      <c r="A80" s="13" t="s">
        <v>5</v>
      </c>
    </row>
    <row r="81" spans="1:36" s="13" customFormat="1" ht="12" customHeight="1" x14ac:dyDescent="0.25">
      <c r="A81" s="144" t="s">
        <v>103</v>
      </c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</row>
    <row r="82" spans="1:36" s="14" customFormat="1" ht="8.25" customHeight="1" x14ac:dyDescent="0.15">
      <c r="A82" s="128" t="s">
        <v>4</v>
      </c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</row>
    <row r="83" spans="1:36" s="13" customFormat="1" ht="12" customHeight="1" x14ac:dyDescent="0.25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</row>
    <row r="84" spans="1:36" s="14" customFormat="1" ht="8.25" customHeight="1" x14ac:dyDescent="0.15">
      <c r="A84" s="128" t="s">
        <v>57</v>
      </c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5">
      <c r="A86" s="127" t="s">
        <v>214</v>
      </c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</row>
    <row r="87" spans="1:36" s="14" customFormat="1" ht="9" customHeight="1" x14ac:dyDescent="0.15">
      <c r="A87" s="128" t="s">
        <v>32</v>
      </c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</row>
    <row r="88" spans="1:36" s="13" customFormat="1" ht="12" customHeight="1" x14ac:dyDescent="0.25">
      <c r="A88" s="13" t="s">
        <v>2</v>
      </c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5">
      <c r="A90" s="13" t="s">
        <v>87</v>
      </c>
      <c r="H90" s="127"/>
      <c r="I90" s="127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5">
      <c r="A93" s="25" t="s">
        <v>83</v>
      </c>
      <c r="B93" s="25" t="str">
        <f>G72</f>
        <v>Исполнителная схема устройства ккабельной линии</v>
      </c>
      <c r="C93" s="25"/>
      <c r="D93" s="25"/>
      <c r="E93" s="25"/>
      <c r="F93" s="25"/>
      <c r="G93" s="25"/>
      <c r="H93" s="25"/>
      <c r="I93" s="25"/>
      <c r="J93" s="25"/>
      <c r="K93" s="25"/>
      <c r="L93" s="26"/>
      <c r="M93" s="25"/>
      <c r="N93" s="25"/>
      <c r="O93" s="25"/>
      <c r="P93" s="97"/>
      <c r="Q93" s="97"/>
      <c r="R93" s="97"/>
      <c r="S93" s="25"/>
      <c r="T93" s="25"/>
      <c r="U93" s="25"/>
      <c r="V93" s="26" t="s">
        <v>74</v>
      </c>
      <c r="W93" s="25" t="s">
        <v>84</v>
      </c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5">
      <c r="A94" s="33" t="s">
        <v>85</v>
      </c>
      <c r="B94" s="96" t="str">
        <f>Q69</f>
        <v>Сертификат (паспорт) качества №4353/26С от 01.2026г.</v>
      </c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8"/>
      <c r="N94" s="98"/>
      <c r="O94" s="98"/>
      <c r="P94" s="97"/>
      <c r="Q94" s="97"/>
      <c r="R94" s="97"/>
      <c r="S94" s="25"/>
      <c r="T94" s="33"/>
      <c r="U94" s="33"/>
      <c r="V94" s="29" t="s">
        <v>74</v>
      </c>
      <c r="W94" s="33" t="s">
        <v>84</v>
      </c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28" t="s">
        <v>0</v>
      </c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5">
      <c r="A99" s="127" t="str">
        <f>'Данные объект'!B33</f>
        <v>Алексанян Г.Р.</v>
      </c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27"/>
      <c r="AC99" s="127"/>
      <c r="AD99" s="127"/>
      <c r="AE99" s="127"/>
      <c r="AF99" s="127"/>
      <c r="AG99" s="127"/>
      <c r="AH99" s="127"/>
      <c r="AI99" s="127"/>
      <c r="AJ99" s="127"/>
    </row>
    <row r="100" spans="1:36" s="14" customFormat="1" ht="9" customHeight="1" x14ac:dyDescent="0.15">
      <c r="A100" s="142" t="s">
        <v>35</v>
      </c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43" t="s">
        <v>34</v>
      </c>
      <c r="AC100" s="143"/>
      <c r="AD100" s="143"/>
      <c r="AE100" s="143"/>
      <c r="AF100" s="143"/>
      <c r="AG100" s="143"/>
      <c r="AH100" s="143"/>
      <c r="AI100" s="143"/>
      <c r="AJ100" s="143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5">
      <c r="A102" s="127" t="str">
        <f>'Данные объект'!B20</f>
        <v>Волков М.Ю.</v>
      </c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27"/>
      <c r="AC102" s="127"/>
      <c r="AD102" s="127"/>
      <c r="AE102" s="127"/>
      <c r="AF102" s="127"/>
      <c r="AG102" s="127"/>
      <c r="AH102" s="127"/>
      <c r="AI102" s="127"/>
      <c r="AJ102" s="127"/>
    </row>
    <row r="103" spans="1:36" s="14" customFormat="1" ht="9" customHeight="1" x14ac:dyDescent="0.15">
      <c r="A103" s="142" t="s">
        <v>35</v>
      </c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43" t="s">
        <v>34</v>
      </c>
      <c r="AC103" s="143"/>
      <c r="AD103" s="143"/>
      <c r="AE103" s="143"/>
      <c r="AF103" s="143"/>
      <c r="AG103" s="143"/>
      <c r="AH103" s="143"/>
      <c r="AI103" s="143"/>
      <c r="AJ103" s="143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5">
      <c r="A106" s="127" t="str">
        <f>'Данные объект'!B17</f>
        <v>Русин В.А.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27"/>
      <c r="AC106" s="127"/>
      <c r="AD106" s="127"/>
      <c r="AE106" s="127"/>
      <c r="AF106" s="127"/>
      <c r="AG106" s="127"/>
      <c r="AH106" s="127"/>
      <c r="AI106" s="127"/>
      <c r="AJ106" s="127"/>
    </row>
    <row r="107" spans="1:36" s="14" customFormat="1" ht="9" customHeight="1" x14ac:dyDescent="0.15">
      <c r="A107" s="142" t="s">
        <v>35</v>
      </c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43" t="s">
        <v>34</v>
      </c>
      <c r="AC107" s="143"/>
      <c r="AD107" s="143"/>
      <c r="AE107" s="143"/>
      <c r="AF107" s="143"/>
      <c r="AG107" s="143"/>
      <c r="AH107" s="143"/>
      <c r="AI107" s="143"/>
      <c r="AJ107" s="143"/>
    </row>
    <row r="108" spans="1:36" s="14" customFormat="1" ht="10.199999999999999" x14ac:dyDescent="0.2">
      <c r="A108" s="13" t="s">
        <v>182</v>
      </c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91"/>
      <c r="Q108" s="91"/>
      <c r="R108" s="91"/>
      <c r="S108" s="91"/>
      <c r="T108" s="91"/>
      <c r="U108" s="92"/>
      <c r="V108" s="92"/>
      <c r="W108" s="92"/>
      <c r="X108" s="92"/>
      <c r="Y108" s="92"/>
      <c r="Z108" s="92"/>
      <c r="AA108" s="92"/>
      <c r="AB108" s="83"/>
      <c r="AC108" s="83"/>
      <c r="AD108" s="83"/>
      <c r="AE108" s="83"/>
      <c r="AF108" s="83"/>
      <c r="AG108" s="83"/>
      <c r="AH108" s="83"/>
      <c r="AI108" s="83"/>
      <c r="AJ108" s="83"/>
    </row>
    <row r="109" spans="1:36" s="14" customFormat="1" ht="10.8" x14ac:dyDescent="0.25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91"/>
      <c r="Q109" s="91"/>
      <c r="R109" s="91"/>
      <c r="S109" s="91"/>
      <c r="T109" s="91"/>
      <c r="U109" s="92"/>
      <c r="V109" s="92"/>
      <c r="W109" s="92"/>
      <c r="X109" s="92"/>
      <c r="Y109" s="92"/>
      <c r="Z109" s="92"/>
      <c r="AA109" s="92"/>
      <c r="AB109" s="127"/>
      <c r="AC109" s="127"/>
      <c r="AD109" s="127"/>
      <c r="AE109" s="127"/>
      <c r="AF109" s="127"/>
      <c r="AG109" s="127"/>
      <c r="AH109" s="127"/>
      <c r="AI109" s="127"/>
      <c r="AJ109" s="127"/>
    </row>
    <row r="110" spans="1:36" s="14" customFormat="1" ht="9.6" x14ac:dyDescent="0.15">
      <c r="A110" s="142" t="s">
        <v>35</v>
      </c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91"/>
      <c r="Q110" s="91"/>
      <c r="R110" s="91"/>
      <c r="S110" s="91"/>
      <c r="T110" s="91"/>
      <c r="U110" s="92"/>
      <c r="V110" s="92"/>
      <c r="W110" s="92"/>
      <c r="X110" s="92"/>
      <c r="Y110" s="92"/>
      <c r="Z110" s="92"/>
      <c r="AA110" s="92"/>
      <c r="AB110" s="143" t="s">
        <v>34</v>
      </c>
      <c r="AC110" s="143"/>
      <c r="AD110" s="143"/>
      <c r="AE110" s="143"/>
      <c r="AF110" s="143"/>
      <c r="AG110" s="143"/>
      <c r="AH110" s="143"/>
      <c r="AI110" s="143"/>
      <c r="AJ110" s="143"/>
    </row>
    <row r="111" spans="1:36" s="13" customFormat="1" ht="38.25" customHeight="1" x14ac:dyDescent="0.2">
      <c r="A111" s="134" t="s">
        <v>51</v>
      </c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34"/>
      <c r="AJ111" s="134"/>
    </row>
    <row r="112" spans="1:36" s="13" customFormat="1" ht="12" customHeight="1" x14ac:dyDescent="0.25">
      <c r="A112" s="127" t="s">
        <v>74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27" t="s">
        <v>74</v>
      </c>
      <c r="AC112" s="127"/>
      <c r="AD112" s="127"/>
      <c r="AE112" s="127"/>
      <c r="AF112" s="127"/>
      <c r="AG112" s="127"/>
      <c r="AH112" s="127"/>
      <c r="AI112" s="127"/>
      <c r="AJ112" s="127"/>
    </row>
    <row r="113" spans="1:36" s="14" customFormat="1" ht="9" customHeight="1" x14ac:dyDescent="0.15">
      <c r="A113" s="142" t="s">
        <v>35</v>
      </c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43" t="s">
        <v>34</v>
      </c>
      <c r="AC113" s="143"/>
      <c r="AD113" s="143"/>
      <c r="AE113" s="143"/>
      <c r="AF113" s="143"/>
      <c r="AG113" s="143"/>
      <c r="AH113" s="143"/>
      <c r="AI113" s="143"/>
      <c r="AJ113" s="143"/>
    </row>
    <row r="114" spans="1:36" s="13" customFormat="1" ht="24.75" hidden="1" customHeight="1" x14ac:dyDescent="0.2">
      <c r="A114" s="134" t="s">
        <v>53</v>
      </c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  <c r="AE114" s="134"/>
      <c r="AF114" s="134"/>
      <c r="AG114" s="134"/>
      <c r="AH114" s="134"/>
      <c r="AI114" s="134"/>
      <c r="AJ114" s="134"/>
    </row>
    <row r="115" spans="1:36" s="13" customFormat="1" ht="12" hidden="1" customHeight="1" x14ac:dyDescent="0.25">
      <c r="A115" s="127" t="e">
        <f>#REF!</f>
        <v>#REF!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27"/>
      <c r="AC115" s="127"/>
      <c r="AD115" s="127"/>
      <c r="AE115" s="127"/>
      <c r="AF115" s="127"/>
      <c r="AG115" s="127"/>
      <c r="AH115" s="127"/>
      <c r="AI115" s="127"/>
      <c r="AJ115" s="127"/>
    </row>
    <row r="116" spans="1:36" s="14" customFormat="1" ht="9" hidden="1" customHeight="1" x14ac:dyDescent="0.15">
      <c r="A116" s="142" t="s">
        <v>35</v>
      </c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43" t="s">
        <v>34</v>
      </c>
      <c r="AC116" s="143"/>
      <c r="AD116" s="143"/>
      <c r="AE116" s="143"/>
      <c r="AF116" s="143"/>
      <c r="AG116" s="143"/>
      <c r="AH116" s="143"/>
      <c r="AI116" s="143"/>
      <c r="AJ116" s="143"/>
    </row>
    <row r="117" spans="1:36" ht="12" customHeight="1" x14ac:dyDescent="0.25"/>
  </sheetData>
  <mergeCells count="105">
    <mergeCell ref="A109:O109"/>
    <mergeCell ref="AB109:AJ109"/>
    <mergeCell ref="A110:O110"/>
    <mergeCell ref="AB110:AJ110"/>
    <mergeCell ref="A7:AJ7"/>
    <mergeCell ref="A11:AJ11"/>
    <mergeCell ref="A12:AJ12"/>
    <mergeCell ref="A59:AJ59"/>
    <mergeCell ref="A44:AJ44"/>
    <mergeCell ref="A45:AJ45"/>
    <mergeCell ref="A49:AJ49"/>
    <mergeCell ref="A50:AJ50"/>
    <mergeCell ref="A51:AJ51"/>
    <mergeCell ref="A52:AJ52"/>
    <mergeCell ref="A56:AJ56"/>
    <mergeCell ref="A58:AJ58"/>
    <mergeCell ref="A35:AJ35"/>
    <mergeCell ref="A36:AJ36"/>
    <mergeCell ref="A37:AJ37"/>
    <mergeCell ref="A38:AJ38"/>
    <mergeCell ref="A39:AJ39"/>
    <mergeCell ref="A41:AJ41"/>
    <mergeCell ref="AB33:AI33"/>
    <mergeCell ref="A53:AJ53"/>
    <mergeCell ref="A54:AJ54"/>
    <mergeCell ref="A55:AJ55"/>
    <mergeCell ref="A46:AJ46"/>
    <mergeCell ref="A47:AJ47"/>
    <mergeCell ref="A48:AJ48"/>
    <mergeCell ref="A4:AJ4"/>
    <mergeCell ref="A5:AJ5"/>
    <mergeCell ref="A6:AJ6"/>
    <mergeCell ref="A8:AJ8"/>
    <mergeCell ref="A30:AJ30"/>
    <mergeCell ref="E32:G32"/>
    <mergeCell ref="AB32:AI32"/>
    <mergeCell ref="A13:AJ13"/>
    <mergeCell ref="A15:AJ15"/>
    <mergeCell ref="A16:AJ16"/>
    <mergeCell ref="A17:AJ17"/>
    <mergeCell ref="A18:AJ18"/>
    <mergeCell ref="A19:AJ19"/>
    <mergeCell ref="A20:AJ20"/>
    <mergeCell ref="A22:AJ22"/>
    <mergeCell ref="A23:AJ23"/>
    <mergeCell ref="A24:AJ24"/>
    <mergeCell ref="A25:AJ25"/>
    <mergeCell ref="A26:AJ26"/>
    <mergeCell ref="A27:AJ27"/>
    <mergeCell ref="A29:AJ29"/>
    <mergeCell ref="A9:AJ9"/>
    <mergeCell ref="A10:AJ10"/>
    <mergeCell ref="A99:O99"/>
    <mergeCell ref="AB99:AJ99"/>
    <mergeCell ref="A100:O100"/>
    <mergeCell ref="AB100:AJ100"/>
    <mergeCell ref="A42:AJ42"/>
    <mergeCell ref="A43:AJ43"/>
    <mergeCell ref="A87:AJ87"/>
    <mergeCell ref="A70:AJ70"/>
    <mergeCell ref="G72:U72"/>
    <mergeCell ref="W72:AJ72"/>
    <mergeCell ref="A73:B73"/>
    <mergeCell ref="G73:AJ73"/>
    <mergeCell ref="A74:AJ74"/>
    <mergeCell ref="A75:AJ75"/>
    <mergeCell ref="A81:AJ81"/>
    <mergeCell ref="A82:AJ82"/>
    <mergeCell ref="A83:AJ83"/>
    <mergeCell ref="A84:AJ84"/>
    <mergeCell ref="A86:AJ86"/>
    <mergeCell ref="A62:F62"/>
    <mergeCell ref="H62:M62"/>
    <mergeCell ref="P62:S62"/>
    <mergeCell ref="A69:C69"/>
    <mergeCell ref="A115:O115"/>
    <mergeCell ref="AB115:AJ115"/>
    <mergeCell ref="A116:O116"/>
    <mergeCell ref="AB116:AJ116"/>
    <mergeCell ref="A111:AJ111"/>
    <mergeCell ref="A112:O112"/>
    <mergeCell ref="AB112:AJ112"/>
    <mergeCell ref="A102:O102"/>
    <mergeCell ref="AB102:AJ102"/>
    <mergeCell ref="A113:O113"/>
    <mergeCell ref="AB113:AJ113"/>
    <mergeCell ref="A114:AJ114"/>
    <mergeCell ref="A103:O103"/>
    <mergeCell ref="AB103:AJ103"/>
    <mergeCell ref="A106:O106"/>
    <mergeCell ref="AB106:AJ106"/>
    <mergeCell ref="A107:O107"/>
    <mergeCell ref="AB107:AJ107"/>
    <mergeCell ref="L88:AJ88"/>
    <mergeCell ref="H90:I90"/>
    <mergeCell ref="A95:AJ95"/>
    <mergeCell ref="P77:W77"/>
    <mergeCell ref="P78:W78"/>
    <mergeCell ref="A63:AJ63"/>
    <mergeCell ref="A65:AJ65"/>
    <mergeCell ref="A66:AJ66"/>
    <mergeCell ref="P67:AJ67"/>
    <mergeCell ref="P68:AJ68"/>
    <mergeCell ref="D69:I69"/>
    <mergeCell ref="K69:N69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Z117"/>
  <sheetViews>
    <sheetView view="pageBreakPreview" topLeftCell="A30" zoomScale="125" zoomScaleNormal="125" zoomScaleSheetLayoutView="125" workbookViewId="0">
      <selection activeCell="A86" sqref="A86:AJ86"/>
    </sheetView>
  </sheetViews>
  <sheetFormatPr defaultColWidth="10.6640625" defaultRowHeight="13.8" x14ac:dyDescent="0.25"/>
  <cols>
    <col min="1" max="31" width="2.77734375" style="1" customWidth="1"/>
    <col min="32" max="32" width="3" style="1" customWidth="1"/>
    <col min="33" max="51" width="2.7773437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25.5" customHeight="1" x14ac:dyDescent="0.2">
      <c r="A4" s="132" t="str">
        <f>'Данные объект'!B3</f>
        <v>Строительство ТП - 6/0,4кВ, ВЛЗ-6 кВ от ВЛЗ-6кВ ф. ЦРП-48 - ТП-326 ПС №387 "Подрезково", ВЛИ-0,38 кВ, рлр, ВРЩ-0,4 кВ, в т.ч. ПИР, МО, Химкинский р-н, г. Химки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</row>
    <row r="5" spans="1:43" s="13" customFormat="1" ht="12" customHeight="1" x14ac:dyDescent="0.2">
      <c r="A5" s="130" t="str">
        <f>'Данные объект'!B9</f>
        <v>КЛ-0,4кВ ф.1 от КТП №1542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</row>
    <row r="6" spans="1:43" s="14" customFormat="1" ht="7.8" x14ac:dyDescent="0.15">
      <c r="A6" s="128" t="s">
        <v>183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</row>
    <row r="7" spans="1:43" s="13" customFormat="1" ht="12.75" customHeight="1" x14ac:dyDescent="0.2">
      <c r="A7" s="133" t="s">
        <v>42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</row>
    <row r="8" spans="1:43" s="13" customFormat="1" ht="12" customHeight="1" x14ac:dyDescent="0.2">
      <c r="A8" s="130" t="str">
        <f>'Данные объект'!B23</f>
        <v>ПАО "Россети Московский регион"</v>
      </c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</row>
    <row r="9" spans="1:43" s="14" customFormat="1" ht="19.5" customHeight="1" x14ac:dyDescent="0.15">
      <c r="A9" s="128" t="s">
        <v>58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</row>
    <row r="10" spans="1:43" s="13" customFormat="1" ht="12" customHeight="1" x14ac:dyDescent="0.2">
      <c r="A10" s="130" t="str">
        <f>'Данные объект'!B24</f>
        <v>ОГРН 1057746555811 ИНН 5036065113 КПП 772501001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</row>
    <row r="11" spans="1:43" s="14" customFormat="1" ht="28.5" customHeight="1" x14ac:dyDescent="0.15">
      <c r="A11" s="128" t="s">
        <v>59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</row>
    <row r="12" spans="1:43" s="13" customFormat="1" ht="12" customHeight="1" x14ac:dyDescent="0.2">
      <c r="A12" s="130" t="str">
        <f>'Данные объект'!B25</f>
        <v>115114, город Москва, проезд Павелецкий 2-й, дом 3, строение 2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</row>
    <row r="13" spans="1:43" s="14" customFormat="1" ht="11.25" customHeight="1" x14ac:dyDescent="0.15">
      <c r="A13" s="128" t="s">
        <v>43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0" t="str">
        <f>'Данные объект'!B11</f>
        <v>ООО"Энергосистемы"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</row>
    <row r="16" spans="1:43" s="14" customFormat="1" ht="9.75" customHeight="1" x14ac:dyDescent="0.15">
      <c r="A16" s="128" t="s">
        <v>37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</row>
    <row r="17" spans="1:36" s="13" customFormat="1" ht="12" customHeight="1" x14ac:dyDescent="0.2">
      <c r="A17" s="130" t="str">
        <f>'Данные объект'!B12</f>
        <v>ОГРН 1135044003709  ИНН 5044089069 КПП 504401001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</row>
    <row r="18" spans="1:36" s="14" customFormat="1" ht="8.25" customHeight="1" x14ac:dyDescent="0.15">
      <c r="A18" s="128" t="s">
        <v>44</v>
      </c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</row>
    <row r="19" spans="1:36" s="13" customFormat="1" ht="12" customHeight="1" x14ac:dyDescent="0.2">
      <c r="A19" s="130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</row>
    <row r="20" spans="1:36" s="14" customFormat="1" ht="27" customHeight="1" x14ac:dyDescent="0.15">
      <c r="A20" s="128" t="s">
        <v>60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0" t="str">
        <f>'Данные объект'!B39</f>
        <v>ООО"Энергосистемы"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</row>
    <row r="23" spans="1:36" s="14" customFormat="1" ht="7.5" customHeight="1" x14ac:dyDescent="0.15">
      <c r="A23" s="128" t="s">
        <v>37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</row>
    <row r="24" spans="1:36" s="13" customFormat="1" ht="12" customHeight="1" x14ac:dyDescent="0.2">
      <c r="A24" s="130" t="str">
        <f>'Данные объект'!B40</f>
        <v>ОГРН 1135044003709  ИНН 5044089069 КПП 504401001</v>
      </c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</row>
    <row r="25" spans="1:36" s="14" customFormat="1" ht="7.5" customHeight="1" x14ac:dyDescent="0.15">
      <c r="A25" s="128" t="s">
        <v>61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</row>
    <row r="26" spans="1:36" s="13" customFormat="1" ht="12" customHeight="1" x14ac:dyDescent="0.2">
      <c r="A26" s="130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</row>
    <row r="27" spans="1:36" s="14" customFormat="1" ht="22.5" customHeight="1" x14ac:dyDescent="0.15">
      <c r="A27" s="128" t="s">
        <v>45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" customHeight="1" x14ac:dyDescent="0.2">
      <c r="A29" s="131" t="s">
        <v>36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</row>
    <row r="30" spans="1:36" s="13" customFormat="1" ht="12.9" customHeight="1" x14ac:dyDescent="0.2">
      <c r="A30" s="136" t="s">
        <v>19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" customHeight="1" x14ac:dyDescent="0.25">
      <c r="A32" s="24"/>
      <c r="B32" s="24" t="s">
        <v>18</v>
      </c>
      <c r="C32" s="25">
        <f>'АОСР-4'!C32+1</f>
        <v>3</v>
      </c>
      <c r="D32" s="25"/>
      <c r="E32" s="127" t="s">
        <v>86</v>
      </c>
      <c r="F32" s="127"/>
      <c r="G32" s="127"/>
      <c r="H32" s="27"/>
      <c r="I32" s="27"/>
      <c r="J32" s="27"/>
      <c r="X32" s="21"/>
      <c r="Y32" s="32"/>
      <c r="Z32" s="32"/>
      <c r="AB32" s="135" t="str">
        <f>P78</f>
        <v>15.06.2026</v>
      </c>
      <c r="AC32" s="135"/>
      <c r="AD32" s="135"/>
      <c r="AE32" s="135"/>
      <c r="AF32" s="135"/>
      <c r="AG32" s="135"/>
      <c r="AH32" s="135"/>
      <c r="AI32" s="135"/>
      <c r="AJ32" s="13" t="s">
        <v>6</v>
      </c>
    </row>
    <row r="33" spans="1:52" s="14" customFormat="1" ht="9" customHeight="1" x14ac:dyDescent="0.15">
      <c r="Y33" s="15"/>
      <c r="Z33" s="16"/>
      <c r="AA33" s="15"/>
      <c r="AB33" s="137" t="s">
        <v>17</v>
      </c>
      <c r="AC33" s="137"/>
      <c r="AD33" s="137"/>
      <c r="AE33" s="137"/>
      <c r="AF33" s="137"/>
      <c r="AG33" s="137"/>
      <c r="AH33" s="137"/>
      <c r="AI33" s="137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3" t="s">
        <v>46</v>
      </c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</row>
    <row r="36" spans="1:52" s="13" customFormat="1" ht="25.5" customHeight="1" x14ac:dyDescent="0.2">
      <c r="A36" s="132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</row>
    <row r="37" spans="1:52" s="14" customFormat="1" ht="28.5" customHeight="1" x14ac:dyDescent="0.15">
      <c r="A37" s="128" t="s">
        <v>47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52" s="13" customFormat="1" ht="21.75" customHeight="1" x14ac:dyDescent="0.2">
      <c r="A38" s="132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</row>
    <row r="39" spans="1:52" s="14" customFormat="1" ht="25.5" customHeight="1" x14ac:dyDescent="0.2">
      <c r="A39" s="138" t="s">
        <v>48</v>
      </c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0" t="str">
        <f>'Данные объект'!C21</f>
        <v>Прораб ООО"Энергосистемы" Волков М.Ю..Приказ №05-ОТ/24 от 09 января 2024г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</row>
    <row r="42" spans="1:52" s="14" customFormat="1" ht="9" customHeight="1" x14ac:dyDescent="0.15">
      <c r="A42" s="128" t="s">
        <v>26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</row>
    <row r="43" spans="1:52" s="13" customFormat="1" ht="17.25" customHeight="1" x14ac:dyDescent="0.2">
      <c r="A43" s="133" t="s">
        <v>49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</row>
    <row r="44" spans="1:52" s="31" customFormat="1" ht="22.5" customHeight="1" x14ac:dyDescent="0.25">
      <c r="A44" s="132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</row>
    <row r="45" spans="1:52" s="14" customFormat="1" ht="30" customHeight="1" x14ac:dyDescent="0.15">
      <c r="A45" s="128" t="s">
        <v>50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52" s="14" customFormat="1" ht="10.199999999999999" x14ac:dyDescent="0.2">
      <c r="A46" s="133" t="s">
        <v>181</v>
      </c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</row>
    <row r="47" spans="1:52" s="14" customFormat="1" ht="11.25" customHeight="1" x14ac:dyDescent="0.15">
      <c r="A47" s="132" t="str">
        <f>'Данные объект'!$C$36</f>
        <v xml:space="preserve"> ПАО "Россети Московский регион" </v>
      </c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</row>
    <row r="48" spans="1:52" s="14" customFormat="1" ht="7.8" x14ac:dyDescent="0.15">
      <c r="A48" s="128" t="s">
        <v>26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6" s="13" customFormat="1" ht="35.25" customHeight="1" x14ac:dyDescent="0.2">
      <c r="A49" s="134" t="s">
        <v>51</v>
      </c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</row>
    <row r="50" spans="1:36" s="31" customFormat="1" ht="12.9" customHeight="1" x14ac:dyDescent="0.25">
      <c r="A50" s="130" t="s">
        <v>74</v>
      </c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</row>
    <row r="51" spans="1:36" s="14" customFormat="1" ht="29.25" customHeight="1" x14ac:dyDescent="0.15">
      <c r="A51" s="128" t="s">
        <v>52</v>
      </c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</row>
    <row r="52" spans="1:36" s="13" customFormat="1" ht="25.5" hidden="1" customHeight="1" x14ac:dyDescent="0.2">
      <c r="A52" s="134" t="s">
        <v>53</v>
      </c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</row>
    <row r="53" spans="1:36" s="13" customFormat="1" ht="12" hidden="1" customHeight="1" x14ac:dyDescent="0.2">
      <c r="A53" s="132" t="e">
        <f>CONCATENATE(#REF!,", ",#REF!," - ",#REF!)</f>
        <v>#REF!</v>
      </c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</row>
    <row r="54" spans="1:36" s="14" customFormat="1" ht="9.75" hidden="1" customHeight="1" x14ac:dyDescent="0.15">
      <c r="A54" s="128" t="s">
        <v>29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6" s="13" customFormat="1" ht="12" hidden="1" customHeight="1" x14ac:dyDescent="0.2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</row>
    <row r="56" spans="1:36" s="14" customFormat="1" ht="16.5" hidden="1" customHeight="1" x14ac:dyDescent="0.15">
      <c r="A56" s="128" t="s">
        <v>54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</row>
    <row r="57" spans="1:36" s="13" customFormat="1" ht="12" customHeight="1" x14ac:dyDescent="0.2">
      <c r="A57" s="13" t="s">
        <v>16</v>
      </c>
    </row>
    <row r="58" spans="1:36" s="13" customFormat="1" ht="12.9" customHeight="1" x14ac:dyDescent="0.25">
      <c r="A58" s="127" t="str">
        <f>'Данные объект'!B11</f>
        <v>ООО"Энергосистемы"</v>
      </c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127"/>
      <c r="AJ58" s="127"/>
    </row>
    <row r="59" spans="1:36" s="14" customFormat="1" ht="10.5" customHeight="1" x14ac:dyDescent="0.15">
      <c r="A59" s="142" t="s">
        <v>38</v>
      </c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.75" customHeight="1" x14ac:dyDescent="0.2">
      <c r="A62" s="148" t="s">
        <v>97</v>
      </c>
      <c r="B62" s="148"/>
      <c r="C62" s="148"/>
      <c r="D62" s="148"/>
      <c r="E62" s="148"/>
      <c r="F62" s="148"/>
      <c r="G62" s="148"/>
      <c r="H62" s="148"/>
      <c r="I62" s="30"/>
      <c r="J62" s="141" t="s">
        <v>155</v>
      </c>
      <c r="K62" s="141"/>
      <c r="L62" s="141"/>
      <c r="M62" s="65"/>
      <c r="N62" s="141">
        <f>'АОСР-2'!R62</f>
        <v>9.3625000000000007</v>
      </c>
      <c r="O62" s="141"/>
      <c r="P62" s="141"/>
      <c r="Q62" s="141"/>
      <c r="R62" s="141" t="s">
        <v>82</v>
      </c>
      <c r="S62" s="141"/>
      <c r="T62" s="97"/>
      <c r="U62" s="97"/>
      <c r="V62" s="97"/>
      <c r="W62" s="97"/>
      <c r="X62" s="74"/>
      <c r="Y62" s="74"/>
      <c r="Z62" s="97"/>
      <c r="AA62" s="97"/>
      <c r="AB62" s="97"/>
      <c r="AC62" s="97"/>
      <c r="AD62" s="97"/>
      <c r="AE62" s="97"/>
      <c r="AF62" s="73"/>
      <c r="AG62" s="73"/>
      <c r="AH62" s="73"/>
      <c r="AI62" s="73"/>
      <c r="AJ62" s="30"/>
    </row>
    <row r="63" spans="1:36" s="14" customFormat="1" ht="8.25" customHeight="1" x14ac:dyDescent="0.15">
      <c r="A63" s="128" t="s">
        <v>14</v>
      </c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</row>
    <row r="64" spans="1:36" s="13" customFormat="1" ht="12" customHeight="1" x14ac:dyDescent="0.2">
      <c r="A64" s="13" t="s">
        <v>13</v>
      </c>
    </row>
    <row r="65" spans="1:36" s="13" customFormat="1" ht="12" customHeight="1" x14ac:dyDescent="0.2">
      <c r="A65" s="132" t="str">
        <f>'Данные объект'!B43</f>
        <v>4708-308092-125-11/24.ЭС</v>
      </c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 spans="1:36" s="14" customFormat="1" ht="15" customHeight="1" x14ac:dyDescent="0.15">
      <c r="A66" s="128" t="s">
        <v>39</v>
      </c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</row>
    <row r="67" spans="1:36" s="13" customFormat="1" ht="12" customHeight="1" x14ac:dyDescent="0.25">
      <c r="A67" s="13" t="s">
        <v>12</v>
      </c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</row>
    <row r="68" spans="1:36" s="18" customFormat="1" ht="7.5" customHeight="1" x14ac:dyDescent="0.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43" t="s">
        <v>55</v>
      </c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</row>
    <row r="69" spans="1:36" s="13" customFormat="1" ht="12" customHeight="1" x14ac:dyDescent="0.2">
      <c r="A69" s="148" t="s">
        <v>91</v>
      </c>
      <c r="B69" s="148"/>
      <c r="C69" s="148"/>
      <c r="D69" s="34" t="s">
        <v>74</v>
      </c>
      <c r="E69" s="130">
        <f>N62</f>
        <v>9.3625000000000007</v>
      </c>
      <c r="F69" s="130"/>
      <c r="G69" s="130"/>
      <c r="H69" s="130"/>
      <c r="I69" s="34" t="s">
        <v>82</v>
      </c>
      <c r="J69" s="34"/>
      <c r="K69" s="158" t="str">
        <f>'АОСР-2'!K69</f>
        <v>Паспорт качества № 1925 от 15.01.2025г.</v>
      </c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34"/>
      <c r="AF69" s="34"/>
      <c r="AG69" s="34"/>
      <c r="AH69" s="34"/>
      <c r="AI69" s="34"/>
      <c r="AJ69" s="34"/>
    </row>
    <row r="70" spans="1:36" s="14" customFormat="1" ht="18.75" customHeight="1" x14ac:dyDescent="0.15">
      <c r="A70" s="128" t="s">
        <v>56</v>
      </c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5">
      <c r="A72" s="13" t="s">
        <v>10</v>
      </c>
      <c r="G72" s="127" t="s">
        <v>89</v>
      </c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25" t="s">
        <v>88</v>
      </c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</row>
    <row r="73" spans="1:36" s="14" customFormat="1" ht="7.5" customHeight="1" x14ac:dyDescent="0.15">
      <c r="A73" s="146"/>
      <c r="B73" s="146"/>
      <c r="C73" s="20"/>
      <c r="D73" s="20"/>
      <c r="E73" s="20"/>
      <c r="F73" s="20"/>
      <c r="G73" s="129" t="s">
        <v>9</v>
      </c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</row>
    <row r="74" spans="1:36" s="13" customFormat="1" ht="12" customHeight="1" x14ac:dyDescent="0.25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</row>
    <row r="75" spans="1:36" s="14" customFormat="1" ht="7.5" customHeight="1" x14ac:dyDescent="0.15">
      <c r="A75" s="128" t="s">
        <v>31</v>
      </c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5">
      <c r="A77" s="13" t="s">
        <v>8</v>
      </c>
      <c r="D77" s="28"/>
      <c r="E77" s="28"/>
      <c r="F77" s="28"/>
      <c r="G77" s="28"/>
      <c r="L77" s="21"/>
      <c r="M77" s="32"/>
      <c r="N77" s="32"/>
      <c r="P77" s="135" t="str">
        <f>'Данные объект'!B6</f>
        <v>09.06.2026</v>
      </c>
      <c r="Q77" s="135"/>
      <c r="R77" s="135"/>
      <c r="S77" s="135"/>
      <c r="T77" s="135"/>
      <c r="U77" s="135"/>
      <c r="V77" s="135"/>
      <c r="W77" s="135"/>
      <c r="X77" s="13" t="s">
        <v>6</v>
      </c>
    </row>
    <row r="78" spans="1:36" s="13" customFormat="1" ht="12" customHeight="1" x14ac:dyDescent="0.25">
      <c r="A78" s="13" t="s">
        <v>7</v>
      </c>
      <c r="D78" s="28"/>
      <c r="E78" s="28"/>
      <c r="F78" s="28"/>
      <c r="G78" s="28"/>
      <c r="L78" s="21"/>
      <c r="M78" s="32"/>
      <c r="N78" s="32"/>
      <c r="P78" s="145" t="str">
        <f>'Данные объект'!B7</f>
        <v>15.06.2026</v>
      </c>
      <c r="Q78" s="145"/>
      <c r="R78" s="145"/>
      <c r="S78" s="145"/>
      <c r="T78" s="145"/>
      <c r="U78" s="145"/>
      <c r="V78" s="145"/>
      <c r="W78" s="145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5">
      <c r="A81" s="144" t="s">
        <v>103</v>
      </c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</row>
    <row r="82" spans="1:36" s="14" customFormat="1" ht="8.25" customHeight="1" x14ac:dyDescent="0.15">
      <c r="A82" s="128" t="s">
        <v>4</v>
      </c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</row>
    <row r="83" spans="1:36" s="13" customFormat="1" ht="12" customHeight="1" x14ac:dyDescent="0.25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</row>
    <row r="84" spans="1:36" s="14" customFormat="1" ht="8.25" customHeight="1" x14ac:dyDescent="0.15">
      <c r="A84" s="128" t="s">
        <v>57</v>
      </c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5">
      <c r="A86" s="159" t="s">
        <v>189</v>
      </c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159"/>
      <c r="AG86" s="159"/>
      <c r="AH86" s="159"/>
      <c r="AI86" s="159"/>
      <c r="AJ86" s="159"/>
    </row>
    <row r="87" spans="1:36" s="14" customFormat="1" ht="9" customHeight="1" x14ac:dyDescent="0.15">
      <c r="A87" s="128" t="s">
        <v>32</v>
      </c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</row>
    <row r="88" spans="1:36" s="13" customFormat="1" ht="12" customHeight="1" x14ac:dyDescent="0.25">
      <c r="A88" s="13" t="s">
        <v>2</v>
      </c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5">
      <c r="A90" s="13" t="s">
        <v>87</v>
      </c>
      <c r="H90" s="127"/>
      <c r="I90" s="127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5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26"/>
      <c r="M93" s="25"/>
      <c r="N93" s="25"/>
      <c r="O93" s="25"/>
      <c r="P93" s="26" t="s">
        <v>74</v>
      </c>
      <c r="Q93" s="25" t="s">
        <v>84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5">
      <c r="A94" s="33" t="s">
        <v>85</v>
      </c>
      <c r="B94" s="150" t="str">
        <f>K69</f>
        <v>Паспорт качества № 1925 от 15.01.2025г.</v>
      </c>
      <c r="C94" s="150"/>
      <c r="D94" s="150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29" t="s">
        <v>74</v>
      </c>
      <c r="Q94" s="33" t="s">
        <v>84</v>
      </c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28" t="s">
        <v>0</v>
      </c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5">
      <c r="A99" s="127" t="str">
        <f>'Данные объект'!B33</f>
        <v>Алексанян Г.Р.</v>
      </c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27"/>
      <c r="AC99" s="127"/>
      <c r="AD99" s="127"/>
      <c r="AE99" s="127"/>
      <c r="AF99" s="127"/>
      <c r="AG99" s="127"/>
      <c r="AH99" s="127"/>
      <c r="AI99" s="127"/>
      <c r="AJ99" s="127"/>
    </row>
    <row r="100" spans="1:36" s="14" customFormat="1" ht="9" customHeight="1" x14ac:dyDescent="0.15">
      <c r="A100" s="142" t="s">
        <v>35</v>
      </c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43" t="s">
        <v>34</v>
      </c>
      <c r="AC100" s="143"/>
      <c r="AD100" s="143"/>
      <c r="AE100" s="143"/>
      <c r="AF100" s="143"/>
      <c r="AG100" s="143"/>
      <c r="AH100" s="143"/>
      <c r="AI100" s="143"/>
      <c r="AJ100" s="143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5">
      <c r="A102" s="127" t="str">
        <f>'Данные объект'!B20</f>
        <v>Волков М.Ю.</v>
      </c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27"/>
      <c r="AC102" s="127"/>
      <c r="AD102" s="127"/>
      <c r="AE102" s="127"/>
      <c r="AF102" s="127"/>
      <c r="AG102" s="127"/>
      <c r="AH102" s="127"/>
      <c r="AI102" s="127"/>
      <c r="AJ102" s="127"/>
    </row>
    <row r="103" spans="1:36" s="14" customFormat="1" ht="9" customHeight="1" x14ac:dyDescent="0.15">
      <c r="A103" s="142" t="s">
        <v>35</v>
      </c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43" t="s">
        <v>34</v>
      </c>
      <c r="AC103" s="143"/>
      <c r="AD103" s="143"/>
      <c r="AE103" s="143"/>
      <c r="AF103" s="143"/>
      <c r="AG103" s="143"/>
      <c r="AH103" s="143"/>
      <c r="AI103" s="143"/>
      <c r="AJ103" s="143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5">
      <c r="A106" s="127" t="str">
        <f>'Данные объект'!B17</f>
        <v>Русин В.А.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27"/>
      <c r="AC106" s="127"/>
      <c r="AD106" s="127"/>
      <c r="AE106" s="127"/>
      <c r="AF106" s="127"/>
      <c r="AG106" s="127"/>
      <c r="AH106" s="127"/>
      <c r="AI106" s="127"/>
      <c r="AJ106" s="127"/>
    </row>
    <row r="107" spans="1:36" s="14" customFormat="1" ht="9" customHeight="1" x14ac:dyDescent="0.15">
      <c r="A107" s="142" t="s">
        <v>35</v>
      </c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43" t="s">
        <v>34</v>
      </c>
      <c r="AC107" s="143"/>
      <c r="AD107" s="143"/>
      <c r="AE107" s="143"/>
      <c r="AF107" s="143"/>
      <c r="AG107" s="143"/>
      <c r="AH107" s="143"/>
      <c r="AI107" s="143"/>
      <c r="AJ107" s="143"/>
    </row>
    <row r="108" spans="1:36" s="14" customFormat="1" ht="10.199999999999999" x14ac:dyDescent="0.2">
      <c r="A108" s="13" t="s">
        <v>182</v>
      </c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91"/>
      <c r="Q108" s="91"/>
      <c r="R108" s="91"/>
      <c r="S108" s="91"/>
      <c r="T108" s="91"/>
      <c r="U108" s="92"/>
      <c r="V108" s="92"/>
      <c r="W108" s="92"/>
      <c r="X108" s="92"/>
      <c r="Y108" s="92"/>
      <c r="Z108" s="92"/>
      <c r="AA108" s="92"/>
      <c r="AB108" s="83"/>
      <c r="AC108" s="83"/>
      <c r="AD108" s="83"/>
      <c r="AE108" s="83"/>
      <c r="AF108" s="83"/>
      <c r="AG108" s="83"/>
      <c r="AH108" s="83"/>
      <c r="AI108" s="83"/>
      <c r="AJ108" s="83"/>
    </row>
    <row r="109" spans="1:36" s="14" customFormat="1" ht="10.8" x14ac:dyDescent="0.25">
      <c r="A109" s="127">
        <f>'Данные объект'!$B$36</f>
        <v>0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91"/>
      <c r="Q109" s="91"/>
      <c r="R109" s="91"/>
      <c r="S109" s="91"/>
      <c r="T109" s="91"/>
      <c r="U109" s="92"/>
      <c r="V109" s="92"/>
      <c r="W109" s="92"/>
      <c r="X109" s="92"/>
      <c r="Y109" s="92"/>
      <c r="Z109" s="92"/>
      <c r="AA109" s="92"/>
      <c r="AB109" s="127"/>
      <c r="AC109" s="127"/>
      <c r="AD109" s="127"/>
      <c r="AE109" s="127"/>
      <c r="AF109" s="127"/>
      <c r="AG109" s="127"/>
      <c r="AH109" s="127"/>
      <c r="AI109" s="127"/>
      <c r="AJ109" s="127"/>
    </row>
    <row r="110" spans="1:36" s="14" customFormat="1" ht="9.6" x14ac:dyDescent="0.15">
      <c r="A110" s="142" t="s">
        <v>35</v>
      </c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91"/>
      <c r="Q110" s="91"/>
      <c r="R110" s="91"/>
      <c r="S110" s="91"/>
      <c r="T110" s="91"/>
      <c r="U110" s="92"/>
      <c r="V110" s="92"/>
      <c r="W110" s="92"/>
      <c r="X110" s="92"/>
      <c r="Y110" s="92"/>
      <c r="Z110" s="92"/>
      <c r="AA110" s="92"/>
      <c r="AB110" s="143" t="s">
        <v>34</v>
      </c>
      <c r="AC110" s="143"/>
      <c r="AD110" s="143"/>
      <c r="AE110" s="143"/>
      <c r="AF110" s="143"/>
      <c r="AG110" s="143"/>
      <c r="AH110" s="143"/>
      <c r="AI110" s="143"/>
      <c r="AJ110" s="143"/>
    </row>
    <row r="111" spans="1:36" s="13" customFormat="1" ht="38.25" customHeight="1" x14ac:dyDescent="0.2">
      <c r="A111" s="134" t="s">
        <v>51</v>
      </c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34"/>
      <c r="AJ111" s="134"/>
    </row>
    <row r="112" spans="1:36" s="13" customFormat="1" ht="12" customHeight="1" x14ac:dyDescent="0.25">
      <c r="A112" s="127" t="s">
        <v>74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27" t="s">
        <v>74</v>
      </c>
      <c r="AC112" s="127"/>
      <c r="AD112" s="127"/>
      <c r="AE112" s="127"/>
      <c r="AF112" s="127"/>
      <c r="AG112" s="127"/>
      <c r="AH112" s="127"/>
      <c r="AI112" s="127"/>
      <c r="AJ112" s="127"/>
    </row>
    <row r="113" spans="1:36" s="14" customFormat="1" ht="9" customHeight="1" x14ac:dyDescent="0.15">
      <c r="A113" s="142" t="s">
        <v>35</v>
      </c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43" t="s">
        <v>34</v>
      </c>
      <c r="AC113" s="143"/>
      <c r="AD113" s="143"/>
      <c r="AE113" s="143"/>
      <c r="AF113" s="143"/>
      <c r="AG113" s="143"/>
      <c r="AH113" s="143"/>
      <c r="AI113" s="143"/>
      <c r="AJ113" s="143"/>
    </row>
    <row r="114" spans="1:36" s="13" customFormat="1" ht="24.75" hidden="1" customHeight="1" x14ac:dyDescent="0.2">
      <c r="A114" s="134" t="s">
        <v>53</v>
      </c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  <c r="AE114" s="134"/>
      <c r="AF114" s="134"/>
      <c r="AG114" s="134"/>
      <c r="AH114" s="134"/>
      <c r="AI114" s="134"/>
      <c r="AJ114" s="134"/>
    </row>
    <row r="115" spans="1:36" s="13" customFormat="1" ht="12" hidden="1" customHeight="1" x14ac:dyDescent="0.25">
      <c r="A115" s="127" t="e">
        <f>#REF!</f>
        <v>#REF!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27"/>
      <c r="AC115" s="127"/>
      <c r="AD115" s="127"/>
      <c r="AE115" s="127"/>
      <c r="AF115" s="127"/>
      <c r="AG115" s="127"/>
      <c r="AH115" s="127"/>
      <c r="AI115" s="127"/>
      <c r="AJ115" s="127"/>
    </row>
    <row r="116" spans="1:36" s="14" customFormat="1" ht="9" hidden="1" customHeight="1" x14ac:dyDescent="0.15">
      <c r="A116" s="142" t="s">
        <v>35</v>
      </c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43" t="s">
        <v>34</v>
      </c>
      <c r="AC116" s="143"/>
      <c r="AD116" s="143"/>
      <c r="AE116" s="143"/>
      <c r="AF116" s="143"/>
      <c r="AG116" s="143"/>
      <c r="AH116" s="143"/>
      <c r="AI116" s="143"/>
      <c r="AJ116" s="143"/>
    </row>
    <row r="117" spans="1:36" ht="12" customHeight="1" x14ac:dyDescent="0.25"/>
  </sheetData>
  <mergeCells count="107">
    <mergeCell ref="A109:O109"/>
    <mergeCell ref="AB109:AJ109"/>
    <mergeCell ref="A110:O110"/>
    <mergeCell ref="AB110:AJ110"/>
    <mergeCell ref="A7:AJ7"/>
    <mergeCell ref="A9:AJ9"/>
    <mergeCell ref="A10:AJ10"/>
    <mergeCell ref="A11:AJ11"/>
    <mergeCell ref="A12:AJ12"/>
    <mergeCell ref="A13:AJ13"/>
    <mergeCell ref="A35:AJ35"/>
    <mergeCell ref="A36:AJ36"/>
    <mergeCell ref="A37:AJ37"/>
    <mergeCell ref="A38:AJ38"/>
    <mergeCell ref="A39:AJ39"/>
    <mergeCell ref="A26:AJ26"/>
    <mergeCell ref="A27:AJ27"/>
    <mergeCell ref="A29:AJ29"/>
    <mergeCell ref="A30:AJ30"/>
    <mergeCell ref="E32:G32"/>
    <mergeCell ref="AB32:AI32"/>
    <mergeCell ref="AB33:AI33"/>
    <mergeCell ref="A49:AJ49"/>
    <mergeCell ref="A50:AJ50"/>
    <mergeCell ref="A4:AJ4"/>
    <mergeCell ref="A5:AJ5"/>
    <mergeCell ref="A6:AJ6"/>
    <mergeCell ref="A8:AJ8"/>
    <mergeCell ref="A20:AJ20"/>
    <mergeCell ref="A22:AJ22"/>
    <mergeCell ref="A23:AJ23"/>
    <mergeCell ref="A24:AJ24"/>
    <mergeCell ref="A25:AJ25"/>
    <mergeCell ref="A15:AJ15"/>
    <mergeCell ref="A16:AJ16"/>
    <mergeCell ref="A17:AJ17"/>
    <mergeCell ref="A18:AJ18"/>
    <mergeCell ref="A19:AJ19"/>
    <mergeCell ref="A51:AJ51"/>
    <mergeCell ref="A52:AJ52"/>
    <mergeCell ref="A63:AJ63"/>
    <mergeCell ref="A41:AJ41"/>
    <mergeCell ref="A42:AJ42"/>
    <mergeCell ref="A43:AJ43"/>
    <mergeCell ref="A44:AJ44"/>
    <mergeCell ref="A45:AJ45"/>
    <mergeCell ref="A62:H62"/>
    <mergeCell ref="N62:Q62"/>
    <mergeCell ref="R62:S62"/>
    <mergeCell ref="A46:AJ46"/>
    <mergeCell ref="A47:AJ47"/>
    <mergeCell ref="A48:AJ48"/>
    <mergeCell ref="AB100:AJ100"/>
    <mergeCell ref="A102:O102"/>
    <mergeCell ref="AB102:AJ102"/>
    <mergeCell ref="L88:AJ88"/>
    <mergeCell ref="H90:I90"/>
    <mergeCell ref="B94:O94"/>
    <mergeCell ref="A95:AJ95"/>
    <mergeCell ref="A87:AJ87"/>
    <mergeCell ref="A74:AJ74"/>
    <mergeCell ref="A75:AJ75"/>
    <mergeCell ref="A81:AJ81"/>
    <mergeCell ref="A82:AJ82"/>
    <mergeCell ref="A83:AJ83"/>
    <mergeCell ref="A84:AJ84"/>
    <mergeCell ref="A86:AJ86"/>
    <mergeCell ref="P77:W77"/>
    <mergeCell ref="P78:W78"/>
    <mergeCell ref="A70:AJ70"/>
    <mergeCell ref="G72:U72"/>
    <mergeCell ref="W72:AJ72"/>
    <mergeCell ref="A73:B73"/>
    <mergeCell ref="G73:AJ73"/>
    <mergeCell ref="A115:O115"/>
    <mergeCell ref="AB115:AJ115"/>
    <mergeCell ref="A116:O116"/>
    <mergeCell ref="AB116:AJ116"/>
    <mergeCell ref="A111:AJ111"/>
    <mergeCell ref="A112:O112"/>
    <mergeCell ref="AB112:AJ112"/>
    <mergeCell ref="A113:O113"/>
    <mergeCell ref="AB113:AJ113"/>
    <mergeCell ref="A114:AJ114"/>
    <mergeCell ref="A103:O103"/>
    <mergeCell ref="AB103:AJ103"/>
    <mergeCell ref="A106:O106"/>
    <mergeCell ref="AB106:AJ106"/>
    <mergeCell ref="A107:O107"/>
    <mergeCell ref="AB107:AJ107"/>
    <mergeCell ref="A99:O99"/>
    <mergeCell ref="AB99:AJ99"/>
    <mergeCell ref="A100:O100"/>
    <mergeCell ref="A65:AJ65"/>
    <mergeCell ref="A66:AJ66"/>
    <mergeCell ref="P67:AJ67"/>
    <mergeCell ref="A53:AJ53"/>
    <mergeCell ref="A54:AJ54"/>
    <mergeCell ref="A55:AJ55"/>
    <mergeCell ref="A56:AJ56"/>
    <mergeCell ref="A58:AJ58"/>
    <mergeCell ref="A69:C69"/>
    <mergeCell ref="E69:H69"/>
    <mergeCell ref="K69:AD69"/>
    <mergeCell ref="P68:AJ68"/>
    <mergeCell ref="J62:L62"/>
    <mergeCell ref="A59:AJ59"/>
  </mergeCells>
  <dataValidations count="1">
    <dataValidation type="list" allowBlank="1" showInputMessage="1" showErrorMessage="1" sqref="E69:G69" xr:uid="{00000000-0002-0000-0500-000000000000}">
      <formula1>кабель</formula1>
    </dataValidation>
  </dataValidations>
  <pageMargins left="0.78740157480314965" right="0.27559055118110237" top="0.39370078740157483" bottom="0.39370078740157483" header="0" footer="0"/>
  <pageSetup paperSize="9" fitToHeight="3" orientation="portrait" r:id="rId1"/>
  <headerFooter alignWithMargins="0"/>
  <rowBreaks count="1" manualBreakCount="1">
    <brk id="51" max="35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4DDC71D-DF97-4D4A-87A9-9DD4404CE03B}">
          <x14:formula1>
            <xm:f>'данные строй'!$C$3:$C$4</xm:f>
          </x14:formula1>
          <xm:sqref>A86:AJ86</xm:sqref>
        </x14:dataValidation>
        <x14:dataValidation type="list" allowBlank="1" showInputMessage="1" showErrorMessage="1" xr:uid="{4B81AB12-2DF7-4F5C-BC7B-5E028092CD45}">
          <x14:formula1>
            <xm:f>'данные строй'!$A$3:$A$5</xm:f>
          </x14:formula1>
          <xm:sqref>J62:L62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E28D-49E4-41BB-8C06-FAE646E94960}">
  <sheetPr>
    <tabColor rgb="FF00B050"/>
  </sheetPr>
  <dimension ref="A1:AZ117"/>
  <sheetViews>
    <sheetView view="pageBreakPreview" topLeftCell="A45" zoomScale="125" zoomScaleNormal="125" zoomScaleSheetLayoutView="125" workbookViewId="0">
      <selection activeCell="AV60" sqref="AV60"/>
    </sheetView>
  </sheetViews>
  <sheetFormatPr defaultColWidth="10.6640625" defaultRowHeight="13.8" x14ac:dyDescent="0.25"/>
  <cols>
    <col min="1" max="1" width="4.109375" style="1" customWidth="1"/>
    <col min="2" max="2" width="4.33203125" style="1" customWidth="1"/>
    <col min="3" max="3" width="3.6640625" style="1" customWidth="1"/>
    <col min="4" max="4" width="4" style="1" customWidth="1"/>
    <col min="5" max="7" width="2.77734375" style="1" customWidth="1"/>
    <col min="8" max="8" width="3.109375" style="1" customWidth="1"/>
    <col min="9" max="31" width="2.77734375" style="1" customWidth="1"/>
    <col min="32" max="32" width="3" style="1" customWidth="1"/>
    <col min="33" max="51" width="2.7773437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25.5" customHeight="1" x14ac:dyDescent="0.2">
      <c r="A4" s="132" t="str">
        <f>'Данные объект'!B3</f>
        <v>Строительство ТП - 6/0,4кВ, ВЛЗ-6 кВ от ВЛЗ-6кВ ф. ЦРП-48 - ТП-326 ПС №387 "Подрезково", ВЛИ-0,38 кВ, рлр, ВРЩ-0,4 кВ, в т.ч. ПИР, МО, Химкинский р-н, г. Химки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</row>
    <row r="5" spans="1:43" s="13" customFormat="1" ht="12" customHeight="1" x14ac:dyDescent="0.2">
      <c r="A5" s="130" t="str">
        <f>'Данные объект'!B9</f>
        <v>КЛ-0,4кВ ф.1 от КТП №1542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</row>
    <row r="6" spans="1:43" s="14" customFormat="1" ht="7.8" x14ac:dyDescent="0.15">
      <c r="A6" s="128" t="s">
        <v>183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</row>
    <row r="7" spans="1:43" s="13" customFormat="1" ht="12.75" customHeight="1" x14ac:dyDescent="0.2">
      <c r="A7" s="133" t="s">
        <v>42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</row>
    <row r="8" spans="1:43" s="13" customFormat="1" ht="12" customHeight="1" x14ac:dyDescent="0.2">
      <c r="A8" s="130" t="str">
        <f>'Данные объект'!B23</f>
        <v>ПАО "Россети Московский регион"</v>
      </c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</row>
    <row r="9" spans="1:43" s="14" customFormat="1" ht="19.5" customHeight="1" x14ac:dyDescent="0.15">
      <c r="A9" s="128" t="s">
        <v>58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</row>
    <row r="10" spans="1:43" s="13" customFormat="1" ht="12" customHeight="1" x14ac:dyDescent="0.2">
      <c r="A10" s="130" t="str">
        <f>'Данные объект'!B24</f>
        <v>ОГРН 1057746555811 ИНН 5036065113 КПП 772501001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</row>
    <row r="11" spans="1:43" s="14" customFormat="1" ht="28.5" customHeight="1" x14ac:dyDescent="0.15">
      <c r="A11" s="128" t="s">
        <v>59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</row>
    <row r="12" spans="1:43" s="13" customFormat="1" ht="12" customHeight="1" x14ac:dyDescent="0.2">
      <c r="A12" s="130" t="str">
        <f>'Данные объект'!B25</f>
        <v>115114, город Москва, проезд Павелецкий 2-й, дом 3, строение 2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</row>
    <row r="13" spans="1:43" s="14" customFormat="1" ht="11.25" customHeight="1" x14ac:dyDescent="0.15">
      <c r="A13" s="128" t="s">
        <v>43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0" t="str">
        <f>'Данные объект'!B11</f>
        <v>ООО"Энергосистемы"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</row>
    <row r="16" spans="1:43" s="14" customFormat="1" ht="9.75" customHeight="1" x14ac:dyDescent="0.15">
      <c r="A16" s="128" t="s">
        <v>37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</row>
    <row r="17" spans="1:36" s="13" customFormat="1" ht="12" customHeight="1" x14ac:dyDescent="0.2">
      <c r="A17" s="130" t="str">
        <f>'Данные объект'!B12</f>
        <v>ОГРН 1135044003709  ИНН 5044089069 КПП 504401001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</row>
    <row r="18" spans="1:36" s="14" customFormat="1" ht="8.25" customHeight="1" x14ac:dyDescent="0.15">
      <c r="A18" s="128" t="s">
        <v>44</v>
      </c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</row>
    <row r="19" spans="1:36" s="13" customFormat="1" ht="12" customHeight="1" x14ac:dyDescent="0.2">
      <c r="A19" s="130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</row>
    <row r="20" spans="1:36" s="14" customFormat="1" ht="27" customHeight="1" x14ac:dyDescent="0.15">
      <c r="A20" s="128" t="s">
        <v>60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0" t="str">
        <f>'Данные объект'!B39</f>
        <v>ООО"Энергосистемы"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</row>
    <row r="23" spans="1:36" s="14" customFormat="1" ht="7.5" customHeight="1" x14ac:dyDescent="0.15">
      <c r="A23" s="128" t="s">
        <v>37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</row>
    <row r="24" spans="1:36" s="13" customFormat="1" ht="12" customHeight="1" x14ac:dyDescent="0.2">
      <c r="A24" s="130" t="str">
        <f>'Данные объект'!B40</f>
        <v>ОГРН 1135044003709  ИНН 5044089069 КПП 504401001</v>
      </c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</row>
    <row r="25" spans="1:36" s="14" customFormat="1" ht="7.5" customHeight="1" x14ac:dyDescent="0.15">
      <c r="A25" s="128" t="s">
        <v>61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</row>
    <row r="26" spans="1:36" s="13" customFormat="1" ht="12" customHeight="1" x14ac:dyDescent="0.2">
      <c r="A26" s="130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</row>
    <row r="27" spans="1:36" s="14" customFormat="1" ht="22.5" customHeight="1" x14ac:dyDescent="0.15">
      <c r="A27" s="128" t="s">
        <v>45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" customHeight="1" x14ac:dyDescent="0.2">
      <c r="A29" s="131" t="s">
        <v>36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</row>
    <row r="30" spans="1:36" s="13" customFormat="1" ht="12.9" customHeight="1" x14ac:dyDescent="0.2">
      <c r="A30" s="136" t="s">
        <v>19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</row>
    <row r="31" spans="1:36" s="13" customFormat="1" ht="6" customHeight="1" x14ac:dyDescent="0.2">
      <c r="A31" s="102"/>
      <c r="B31" s="102"/>
      <c r="C31" s="102"/>
      <c r="D31" s="102"/>
      <c r="E31" s="102"/>
      <c r="F31" s="102"/>
      <c r="G31" s="102"/>
      <c r="H31" s="102"/>
      <c r="I31" s="102"/>
      <c r="J31" s="102"/>
    </row>
    <row r="32" spans="1:36" s="13" customFormat="1" ht="12.9" customHeight="1" x14ac:dyDescent="0.25">
      <c r="A32" s="24"/>
      <c r="B32" s="24" t="s">
        <v>18</v>
      </c>
      <c r="C32" s="25">
        <v>6</v>
      </c>
      <c r="D32" s="25"/>
      <c r="E32" s="127" t="s">
        <v>86</v>
      </c>
      <c r="F32" s="127"/>
      <c r="G32" s="127"/>
      <c r="H32" s="27"/>
      <c r="I32" s="27"/>
      <c r="J32" s="27"/>
      <c r="X32" s="21"/>
      <c r="Y32" s="32"/>
      <c r="Z32" s="32"/>
      <c r="AB32" s="135" t="str">
        <f>P78</f>
        <v>15.06.2026</v>
      </c>
      <c r="AC32" s="135"/>
      <c r="AD32" s="135"/>
      <c r="AE32" s="135"/>
      <c r="AF32" s="135"/>
      <c r="AG32" s="135"/>
      <c r="AH32" s="135"/>
      <c r="AI32" s="135"/>
      <c r="AJ32" s="13" t="s">
        <v>6</v>
      </c>
    </row>
    <row r="33" spans="1:52" s="14" customFormat="1" ht="9" customHeight="1" x14ac:dyDescent="0.15">
      <c r="Y33" s="15"/>
      <c r="Z33" s="16"/>
      <c r="AA33" s="15"/>
      <c r="AB33" s="137" t="s">
        <v>17</v>
      </c>
      <c r="AC33" s="137"/>
      <c r="AD33" s="137"/>
      <c r="AE33" s="137"/>
      <c r="AF33" s="137"/>
      <c r="AG33" s="137"/>
      <c r="AH33" s="137"/>
      <c r="AI33" s="137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3" t="s">
        <v>46</v>
      </c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</row>
    <row r="36" spans="1:52" s="13" customFormat="1" ht="25.5" customHeight="1" x14ac:dyDescent="0.2">
      <c r="A36" s="132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</row>
    <row r="37" spans="1:52" s="14" customFormat="1" ht="28.5" customHeight="1" x14ac:dyDescent="0.15">
      <c r="A37" s="128" t="s">
        <v>47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52" s="13" customFormat="1" ht="21.75" customHeight="1" x14ac:dyDescent="0.2">
      <c r="A38" s="132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</row>
    <row r="39" spans="1:52" s="14" customFormat="1" ht="25.5" customHeight="1" x14ac:dyDescent="0.2">
      <c r="A39" s="138" t="s">
        <v>48</v>
      </c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0" t="str">
        <f>'Данные объект'!C21</f>
        <v>Прораб ООО"Энергосистемы" Волков М.Ю..Приказ №05-ОТ/24 от 09 января 2024г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</row>
    <row r="42" spans="1:52" s="14" customFormat="1" ht="9" customHeight="1" x14ac:dyDescent="0.15">
      <c r="A42" s="128" t="s">
        <v>26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</row>
    <row r="43" spans="1:52" s="13" customFormat="1" ht="17.25" customHeight="1" x14ac:dyDescent="0.2">
      <c r="A43" s="133" t="s">
        <v>49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</row>
    <row r="44" spans="1:52" s="31" customFormat="1" ht="22.5" customHeight="1" x14ac:dyDescent="0.25">
      <c r="A44" s="132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</row>
    <row r="45" spans="1:52" s="14" customFormat="1" ht="30" customHeight="1" x14ac:dyDescent="0.15">
      <c r="A45" s="128" t="s">
        <v>50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52" s="14" customFormat="1" ht="10.199999999999999" x14ac:dyDescent="0.2">
      <c r="A46" s="133" t="s">
        <v>181</v>
      </c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</row>
    <row r="47" spans="1:52" s="14" customFormat="1" ht="11.25" customHeight="1" x14ac:dyDescent="0.15">
      <c r="A47" s="132" t="str">
        <f>'Данные объект'!$C$36</f>
        <v xml:space="preserve"> ПАО "Россети Московский регион" </v>
      </c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</row>
    <row r="48" spans="1:52" s="14" customFormat="1" ht="7.8" x14ac:dyDescent="0.15">
      <c r="A48" s="128" t="s">
        <v>26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6" s="13" customFormat="1" ht="35.25" customHeight="1" x14ac:dyDescent="0.2">
      <c r="A49" s="134" t="s">
        <v>51</v>
      </c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</row>
    <row r="50" spans="1:36" s="31" customFormat="1" ht="12.9" customHeight="1" x14ac:dyDescent="0.25">
      <c r="A50" s="130" t="s">
        <v>74</v>
      </c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</row>
    <row r="51" spans="1:36" s="14" customFormat="1" ht="29.25" customHeight="1" x14ac:dyDescent="0.15">
      <c r="A51" s="128" t="s">
        <v>52</v>
      </c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</row>
    <row r="52" spans="1:36" s="13" customFormat="1" ht="25.5" hidden="1" customHeight="1" x14ac:dyDescent="0.2">
      <c r="A52" s="134" t="s">
        <v>53</v>
      </c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</row>
    <row r="53" spans="1:36" s="13" customFormat="1" ht="12" hidden="1" customHeight="1" x14ac:dyDescent="0.2">
      <c r="A53" s="132" t="e">
        <f>CONCATENATE(#REF!,", ",#REF!," - ",#REF!)</f>
        <v>#REF!</v>
      </c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</row>
    <row r="54" spans="1:36" s="14" customFormat="1" ht="9.75" hidden="1" customHeight="1" x14ac:dyDescent="0.15">
      <c r="A54" s="128" t="s">
        <v>29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6" s="13" customFormat="1" ht="12" hidden="1" customHeight="1" x14ac:dyDescent="0.2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</row>
    <row r="56" spans="1:36" s="14" customFormat="1" ht="16.5" hidden="1" customHeight="1" x14ac:dyDescent="0.15">
      <c r="A56" s="128" t="s">
        <v>54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</row>
    <row r="57" spans="1:36" s="13" customFormat="1" ht="12" customHeight="1" x14ac:dyDescent="0.2">
      <c r="A57" s="13" t="s">
        <v>16</v>
      </c>
    </row>
    <row r="58" spans="1:36" s="13" customFormat="1" ht="12.9" customHeight="1" x14ac:dyDescent="0.25">
      <c r="A58" s="127" t="str">
        <f>'Данные объект'!B11</f>
        <v>ООО"Энергосистемы"</v>
      </c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127"/>
      <c r="AJ58" s="127"/>
    </row>
    <row r="59" spans="1:36" s="14" customFormat="1" ht="10.5" customHeight="1" x14ac:dyDescent="0.15">
      <c r="A59" s="142" t="s">
        <v>38</v>
      </c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</row>
    <row r="62" spans="1:36" s="13" customFormat="1" ht="12.75" customHeight="1" x14ac:dyDescent="0.2">
      <c r="A62" s="148" t="str">
        <f>'АОСР-5'!A86:AJ86</f>
        <v>Прокладка плитки ПЗК</v>
      </c>
      <c r="B62" s="148"/>
      <c r="C62" s="148"/>
      <c r="D62" s="148"/>
      <c r="E62" s="148"/>
      <c r="F62" s="148"/>
      <c r="G62" s="148"/>
      <c r="H62" s="148"/>
      <c r="I62" s="73"/>
      <c r="J62" s="141" t="s">
        <v>155</v>
      </c>
      <c r="K62" s="141"/>
      <c r="L62" s="141"/>
      <c r="M62" s="71"/>
      <c r="N62" s="139"/>
      <c r="O62" s="139"/>
      <c r="P62" s="139"/>
      <c r="Q62" s="139"/>
      <c r="R62" s="139" t="s">
        <v>98</v>
      </c>
      <c r="S62" s="139"/>
      <c r="T62" s="97"/>
      <c r="U62" s="97"/>
      <c r="V62" s="97"/>
      <c r="W62" s="97"/>
      <c r="X62" s="74"/>
      <c r="Y62" s="74"/>
      <c r="Z62" s="97"/>
      <c r="AA62" s="97"/>
      <c r="AB62" s="97"/>
      <c r="AC62" s="97"/>
      <c r="AD62" s="97"/>
      <c r="AE62" s="97"/>
      <c r="AF62" s="73"/>
      <c r="AG62" s="73"/>
      <c r="AH62" s="73"/>
      <c r="AI62" s="73"/>
      <c r="AJ62" s="73"/>
    </row>
    <row r="63" spans="1:36" s="14" customFormat="1" ht="8.25" customHeight="1" x14ac:dyDescent="0.15">
      <c r="A63" s="128" t="s">
        <v>14</v>
      </c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</row>
    <row r="64" spans="1:36" s="13" customFormat="1" ht="12" customHeight="1" x14ac:dyDescent="0.2">
      <c r="A64" s="13" t="s">
        <v>13</v>
      </c>
    </row>
    <row r="65" spans="1:36" s="13" customFormat="1" ht="12" customHeight="1" x14ac:dyDescent="0.2">
      <c r="A65" s="132" t="str">
        <f>'Данные объект'!B43</f>
        <v>4708-308092-125-11/24.ЭС</v>
      </c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 spans="1:36" s="14" customFormat="1" ht="15" customHeight="1" x14ac:dyDescent="0.15">
      <c r="A66" s="128" t="s">
        <v>39</v>
      </c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</row>
    <row r="67" spans="1:36" s="13" customFormat="1" ht="12" customHeight="1" x14ac:dyDescent="0.25">
      <c r="A67" s="13" t="s">
        <v>12</v>
      </c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</row>
    <row r="68" spans="1:36" s="18" customFormat="1" ht="11.25" customHeight="1" x14ac:dyDescent="0.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43" t="s">
        <v>55</v>
      </c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</row>
    <row r="69" spans="1:36" s="13" customFormat="1" ht="18" customHeight="1" x14ac:dyDescent="0.2">
      <c r="A69" s="160" t="s">
        <v>192</v>
      </c>
      <c r="B69" s="160"/>
      <c r="C69" s="160"/>
      <c r="D69" s="160"/>
      <c r="E69" s="160"/>
      <c r="F69" s="161">
        <v>240</v>
      </c>
      <c r="G69" s="161"/>
      <c r="H69" s="161"/>
      <c r="I69" s="161"/>
      <c r="J69" s="130" t="str">
        <f>R62</f>
        <v>шт</v>
      </c>
      <c r="K69" s="130"/>
      <c r="L69" s="34"/>
      <c r="M69" s="34"/>
      <c r="N69" s="148" t="s">
        <v>194</v>
      </c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  <c r="AC69" s="148"/>
      <c r="AD69" s="148"/>
      <c r="AE69" s="148"/>
      <c r="AF69" s="148"/>
      <c r="AG69" s="148"/>
      <c r="AH69" s="148"/>
      <c r="AI69" s="148"/>
      <c r="AJ69" s="148"/>
    </row>
    <row r="70" spans="1:36" s="14" customFormat="1" ht="18.75" customHeight="1" x14ac:dyDescent="0.15">
      <c r="A70" s="128" t="s">
        <v>56</v>
      </c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5">
      <c r="A72" s="13" t="s">
        <v>10</v>
      </c>
      <c r="G72" s="127" t="s">
        <v>89</v>
      </c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25" t="s">
        <v>88</v>
      </c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</row>
    <row r="73" spans="1:36" s="14" customFormat="1" ht="7.5" customHeight="1" x14ac:dyDescent="0.15">
      <c r="A73" s="146"/>
      <c r="B73" s="146"/>
      <c r="C73" s="20"/>
      <c r="D73" s="20"/>
      <c r="E73" s="20"/>
      <c r="F73" s="20"/>
      <c r="G73" s="129" t="s">
        <v>9</v>
      </c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</row>
    <row r="74" spans="1:36" s="13" customFormat="1" ht="12" customHeight="1" x14ac:dyDescent="0.25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</row>
    <row r="75" spans="1:36" s="14" customFormat="1" ht="7.5" customHeight="1" x14ac:dyDescent="0.15">
      <c r="A75" s="128" t="s">
        <v>31</v>
      </c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5">
      <c r="A77" s="13" t="s">
        <v>8</v>
      </c>
      <c r="D77" s="28"/>
      <c r="E77" s="28"/>
      <c r="F77" s="28"/>
      <c r="G77" s="28"/>
      <c r="L77" s="21"/>
      <c r="M77" s="32"/>
      <c r="N77" s="32"/>
      <c r="P77" s="135" t="str">
        <f>'Данные объект'!B6</f>
        <v>09.06.2026</v>
      </c>
      <c r="Q77" s="135"/>
      <c r="R77" s="135"/>
      <c r="S77" s="135"/>
      <c r="T77" s="135"/>
      <c r="U77" s="135"/>
      <c r="V77" s="135"/>
      <c r="W77" s="135"/>
      <c r="X77" s="13" t="s">
        <v>6</v>
      </c>
    </row>
    <row r="78" spans="1:36" s="13" customFormat="1" ht="12" customHeight="1" x14ac:dyDescent="0.25">
      <c r="A78" s="13" t="s">
        <v>7</v>
      </c>
      <c r="D78" s="28"/>
      <c r="E78" s="28"/>
      <c r="F78" s="28"/>
      <c r="G78" s="28"/>
      <c r="L78" s="21"/>
      <c r="M78" s="32"/>
      <c r="N78" s="32"/>
      <c r="P78" s="145" t="str">
        <f>'Данные объект'!B7</f>
        <v>15.06.2026</v>
      </c>
      <c r="Q78" s="145"/>
      <c r="R78" s="145"/>
      <c r="S78" s="145"/>
      <c r="T78" s="145"/>
      <c r="U78" s="145"/>
      <c r="V78" s="145"/>
      <c r="W78" s="145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5">
      <c r="A81" s="144" t="s">
        <v>103</v>
      </c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</row>
    <row r="82" spans="1:36" s="14" customFormat="1" ht="8.25" customHeight="1" x14ac:dyDescent="0.15">
      <c r="A82" s="128" t="s">
        <v>4</v>
      </c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</row>
    <row r="83" spans="1:36" s="13" customFormat="1" ht="12" customHeight="1" x14ac:dyDescent="0.25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</row>
    <row r="84" spans="1:36" s="14" customFormat="1" ht="8.25" customHeight="1" x14ac:dyDescent="0.15">
      <c r="A84" s="128" t="s">
        <v>57</v>
      </c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5">
      <c r="A86" s="155" t="s">
        <v>191</v>
      </c>
      <c r="B86" s="155"/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  <c r="AA86" s="155"/>
      <c r="AB86" s="155"/>
      <c r="AC86" s="155"/>
      <c r="AD86" s="155"/>
      <c r="AE86" s="155"/>
      <c r="AF86" s="155"/>
      <c r="AG86" s="155"/>
      <c r="AH86" s="155"/>
      <c r="AI86" s="155"/>
      <c r="AJ86" s="155"/>
    </row>
    <row r="87" spans="1:36" s="14" customFormat="1" ht="9" customHeight="1" x14ac:dyDescent="0.15">
      <c r="A87" s="128" t="s">
        <v>32</v>
      </c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</row>
    <row r="88" spans="1:36" s="13" customFormat="1" ht="12" customHeight="1" x14ac:dyDescent="0.25">
      <c r="A88" s="13" t="s">
        <v>2</v>
      </c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5">
      <c r="A90" s="13" t="s">
        <v>87</v>
      </c>
      <c r="H90" s="127"/>
      <c r="I90" s="127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5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99"/>
      <c r="M93" s="25"/>
      <c r="N93" s="25"/>
      <c r="O93" s="25"/>
      <c r="P93" s="99" t="s">
        <v>74</v>
      </c>
      <c r="Q93" s="25" t="s">
        <v>84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5">
      <c r="A94" s="33" t="s">
        <v>85</v>
      </c>
      <c r="B94" s="150" t="str">
        <f>N69</f>
        <v>Сертификат №</v>
      </c>
      <c r="C94" s="150"/>
      <c r="D94" s="150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29" t="s">
        <v>74</v>
      </c>
      <c r="Q94" s="33" t="s">
        <v>84</v>
      </c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28" t="s">
        <v>0</v>
      </c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5">
      <c r="A99" s="127" t="str">
        <f>'Данные объект'!B33</f>
        <v>Алексанян Г.Р.</v>
      </c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27"/>
      <c r="AC99" s="127"/>
      <c r="AD99" s="127"/>
      <c r="AE99" s="127"/>
      <c r="AF99" s="127"/>
      <c r="AG99" s="127"/>
      <c r="AH99" s="127"/>
      <c r="AI99" s="127"/>
      <c r="AJ99" s="127"/>
    </row>
    <row r="100" spans="1:36" s="14" customFormat="1" ht="9" customHeight="1" x14ac:dyDescent="0.15">
      <c r="A100" s="142" t="s">
        <v>35</v>
      </c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43" t="s">
        <v>34</v>
      </c>
      <c r="AC100" s="143"/>
      <c r="AD100" s="143"/>
      <c r="AE100" s="143"/>
      <c r="AF100" s="143"/>
      <c r="AG100" s="143"/>
      <c r="AH100" s="143"/>
      <c r="AI100" s="143"/>
      <c r="AJ100" s="143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5">
      <c r="A102" s="127" t="str">
        <f>'Данные объект'!B20</f>
        <v>Волков М.Ю.</v>
      </c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27"/>
      <c r="AC102" s="127"/>
      <c r="AD102" s="127"/>
      <c r="AE102" s="127"/>
      <c r="AF102" s="127"/>
      <c r="AG102" s="127"/>
      <c r="AH102" s="127"/>
      <c r="AI102" s="127"/>
      <c r="AJ102" s="127"/>
    </row>
    <row r="103" spans="1:36" s="14" customFormat="1" ht="9" customHeight="1" x14ac:dyDescent="0.15">
      <c r="A103" s="142" t="s">
        <v>35</v>
      </c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43" t="s">
        <v>34</v>
      </c>
      <c r="AC103" s="143"/>
      <c r="AD103" s="143"/>
      <c r="AE103" s="143"/>
      <c r="AF103" s="143"/>
      <c r="AG103" s="143"/>
      <c r="AH103" s="143"/>
      <c r="AI103" s="143"/>
      <c r="AJ103" s="143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5">
      <c r="A106" s="127" t="str">
        <f>'Данные объект'!B17</f>
        <v>Русин В.А.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27"/>
      <c r="AC106" s="127"/>
      <c r="AD106" s="127"/>
      <c r="AE106" s="127"/>
      <c r="AF106" s="127"/>
      <c r="AG106" s="127"/>
      <c r="AH106" s="127"/>
      <c r="AI106" s="127"/>
      <c r="AJ106" s="127"/>
    </row>
    <row r="107" spans="1:36" s="14" customFormat="1" ht="9" customHeight="1" x14ac:dyDescent="0.15">
      <c r="A107" s="142" t="s">
        <v>35</v>
      </c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43" t="s">
        <v>34</v>
      </c>
      <c r="AC107" s="143"/>
      <c r="AD107" s="143"/>
      <c r="AE107" s="143"/>
      <c r="AF107" s="143"/>
      <c r="AG107" s="143"/>
      <c r="AH107" s="143"/>
      <c r="AI107" s="143"/>
      <c r="AJ107" s="143"/>
    </row>
    <row r="108" spans="1:36" s="14" customFormat="1" ht="10.199999999999999" x14ac:dyDescent="0.2">
      <c r="A108" s="13" t="s">
        <v>182</v>
      </c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91"/>
      <c r="Q108" s="91"/>
      <c r="R108" s="91"/>
      <c r="S108" s="91"/>
      <c r="T108" s="91"/>
      <c r="U108" s="92"/>
      <c r="V108" s="92"/>
      <c r="W108" s="92"/>
      <c r="X108" s="92"/>
      <c r="Y108" s="92"/>
      <c r="Z108" s="92"/>
      <c r="AA108" s="92"/>
      <c r="AB108" s="101"/>
      <c r="AC108" s="101"/>
      <c r="AD108" s="101"/>
      <c r="AE108" s="101"/>
      <c r="AF108" s="101"/>
      <c r="AG108" s="101"/>
      <c r="AH108" s="101"/>
      <c r="AI108" s="101"/>
      <c r="AJ108" s="101"/>
    </row>
    <row r="109" spans="1:36" s="14" customFormat="1" ht="10.8" x14ac:dyDescent="0.25">
      <c r="A109" s="127">
        <f>'Данные объект'!$B$36</f>
        <v>0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91"/>
      <c r="Q109" s="91"/>
      <c r="R109" s="91"/>
      <c r="S109" s="91"/>
      <c r="T109" s="91"/>
      <c r="U109" s="92"/>
      <c r="V109" s="92"/>
      <c r="W109" s="92"/>
      <c r="X109" s="92"/>
      <c r="Y109" s="92"/>
      <c r="Z109" s="92"/>
      <c r="AA109" s="92"/>
      <c r="AB109" s="127"/>
      <c r="AC109" s="127"/>
      <c r="AD109" s="127"/>
      <c r="AE109" s="127"/>
      <c r="AF109" s="127"/>
      <c r="AG109" s="127"/>
      <c r="AH109" s="127"/>
      <c r="AI109" s="127"/>
      <c r="AJ109" s="127"/>
    </row>
    <row r="110" spans="1:36" s="14" customFormat="1" ht="9.6" x14ac:dyDescent="0.15">
      <c r="A110" s="142" t="s">
        <v>35</v>
      </c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91"/>
      <c r="Q110" s="91"/>
      <c r="R110" s="91"/>
      <c r="S110" s="91"/>
      <c r="T110" s="91"/>
      <c r="U110" s="92"/>
      <c r="V110" s="92"/>
      <c r="W110" s="92"/>
      <c r="X110" s="92"/>
      <c r="Y110" s="92"/>
      <c r="Z110" s="92"/>
      <c r="AA110" s="92"/>
      <c r="AB110" s="143" t="s">
        <v>34</v>
      </c>
      <c r="AC110" s="143"/>
      <c r="AD110" s="143"/>
      <c r="AE110" s="143"/>
      <c r="AF110" s="143"/>
      <c r="AG110" s="143"/>
      <c r="AH110" s="143"/>
      <c r="AI110" s="143"/>
      <c r="AJ110" s="143"/>
    </row>
    <row r="111" spans="1:36" s="13" customFormat="1" ht="38.25" customHeight="1" x14ac:dyDescent="0.2">
      <c r="A111" s="134" t="s">
        <v>51</v>
      </c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34"/>
      <c r="AJ111" s="134"/>
    </row>
    <row r="112" spans="1:36" s="13" customFormat="1" ht="12" customHeight="1" x14ac:dyDescent="0.25">
      <c r="A112" s="127" t="s">
        <v>74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27" t="s">
        <v>74</v>
      </c>
      <c r="AC112" s="127"/>
      <c r="AD112" s="127"/>
      <c r="AE112" s="127"/>
      <c r="AF112" s="127"/>
      <c r="AG112" s="127"/>
      <c r="AH112" s="127"/>
      <c r="AI112" s="127"/>
      <c r="AJ112" s="127"/>
    </row>
    <row r="113" spans="1:36" s="14" customFormat="1" ht="9" customHeight="1" x14ac:dyDescent="0.15">
      <c r="A113" s="142" t="s">
        <v>35</v>
      </c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43" t="s">
        <v>34</v>
      </c>
      <c r="AC113" s="143"/>
      <c r="AD113" s="143"/>
      <c r="AE113" s="143"/>
      <c r="AF113" s="143"/>
      <c r="AG113" s="143"/>
      <c r="AH113" s="143"/>
      <c r="AI113" s="143"/>
      <c r="AJ113" s="143"/>
    </row>
    <row r="114" spans="1:36" s="13" customFormat="1" ht="24.75" hidden="1" customHeight="1" x14ac:dyDescent="0.2">
      <c r="A114" s="134" t="s">
        <v>53</v>
      </c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  <c r="AE114" s="134"/>
      <c r="AF114" s="134"/>
      <c r="AG114" s="134"/>
      <c r="AH114" s="134"/>
      <c r="AI114" s="134"/>
      <c r="AJ114" s="134"/>
    </row>
    <row r="115" spans="1:36" s="13" customFormat="1" ht="12" hidden="1" customHeight="1" x14ac:dyDescent="0.25">
      <c r="A115" s="127" t="e">
        <f>#REF!</f>
        <v>#REF!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27"/>
      <c r="AC115" s="127"/>
      <c r="AD115" s="127"/>
      <c r="AE115" s="127"/>
      <c r="AF115" s="127"/>
      <c r="AG115" s="127"/>
      <c r="AH115" s="127"/>
      <c r="AI115" s="127"/>
      <c r="AJ115" s="127"/>
    </row>
    <row r="116" spans="1:36" s="14" customFormat="1" ht="9" hidden="1" customHeight="1" x14ac:dyDescent="0.15">
      <c r="A116" s="142" t="s">
        <v>35</v>
      </c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43" t="s">
        <v>34</v>
      </c>
      <c r="AC116" s="143"/>
      <c r="AD116" s="143"/>
      <c r="AE116" s="143"/>
      <c r="AF116" s="143"/>
      <c r="AG116" s="143"/>
      <c r="AH116" s="143"/>
      <c r="AI116" s="143"/>
      <c r="AJ116" s="143"/>
    </row>
    <row r="117" spans="1:36" ht="12" customHeight="1" x14ac:dyDescent="0.25"/>
  </sheetData>
  <mergeCells count="108">
    <mergeCell ref="A4:AJ4"/>
    <mergeCell ref="A5:AJ5"/>
    <mergeCell ref="A6:AJ6"/>
    <mergeCell ref="A7:AJ7"/>
    <mergeCell ref="A8:AJ8"/>
    <mergeCell ref="A9:AJ9"/>
    <mergeCell ref="A17:AJ17"/>
    <mergeCell ref="A18:AJ18"/>
    <mergeCell ref="A19:AJ19"/>
    <mergeCell ref="A20:AJ20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E32:G32"/>
    <mergeCell ref="AB32:AI32"/>
    <mergeCell ref="AB33:AI33"/>
    <mergeCell ref="A35:AJ35"/>
    <mergeCell ref="A36:AJ36"/>
    <mergeCell ref="A37:AJ37"/>
    <mergeCell ref="A24:AJ24"/>
    <mergeCell ref="A25:AJ25"/>
    <mergeCell ref="A26:AJ26"/>
    <mergeCell ref="A27:AJ27"/>
    <mergeCell ref="A29:AJ29"/>
    <mergeCell ref="A30:AJ30"/>
    <mergeCell ref="A45:AJ45"/>
    <mergeCell ref="A46:AJ46"/>
    <mergeCell ref="A47:AJ47"/>
    <mergeCell ref="A48:AJ48"/>
    <mergeCell ref="A49:AJ49"/>
    <mergeCell ref="A50:AJ50"/>
    <mergeCell ref="A38:AJ38"/>
    <mergeCell ref="A39:AJ39"/>
    <mergeCell ref="A41:AJ41"/>
    <mergeCell ref="A42:AJ42"/>
    <mergeCell ref="A43:AJ43"/>
    <mergeCell ref="A44:AJ44"/>
    <mergeCell ref="A58:AJ58"/>
    <mergeCell ref="A59:AJ59"/>
    <mergeCell ref="A62:H62"/>
    <mergeCell ref="J62:L62"/>
    <mergeCell ref="N62:Q62"/>
    <mergeCell ref="R62:S62"/>
    <mergeCell ref="A51:AJ51"/>
    <mergeCell ref="A52:AJ52"/>
    <mergeCell ref="A53:AJ53"/>
    <mergeCell ref="A54:AJ54"/>
    <mergeCell ref="A55:AJ55"/>
    <mergeCell ref="A56:AJ56"/>
    <mergeCell ref="A70:AJ70"/>
    <mergeCell ref="G72:U72"/>
    <mergeCell ref="W72:AJ72"/>
    <mergeCell ref="A73:B73"/>
    <mergeCell ref="G73:AJ73"/>
    <mergeCell ref="A74:AJ74"/>
    <mergeCell ref="A63:AJ63"/>
    <mergeCell ref="A65:AJ65"/>
    <mergeCell ref="A66:AJ66"/>
    <mergeCell ref="P67:AJ67"/>
    <mergeCell ref="P68:AJ68"/>
    <mergeCell ref="J69:K69"/>
    <mergeCell ref="A69:E69"/>
    <mergeCell ref="F69:I69"/>
    <mergeCell ref="N69:AJ69"/>
    <mergeCell ref="A87:AJ87"/>
    <mergeCell ref="L88:AJ88"/>
    <mergeCell ref="H90:I90"/>
    <mergeCell ref="B94:O94"/>
    <mergeCell ref="A75:AJ75"/>
    <mergeCell ref="P77:W77"/>
    <mergeCell ref="P78:W78"/>
    <mergeCell ref="A81:AJ81"/>
    <mergeCell ref="A82:AJ82"/>
    <mergeCell ref="A83:AJ83"/>
    <mergeCell ref="A84:AJ84"/>
    <mergeCell ref="A86:AJ86"/>
    <mergeCell ref="A116:O116"/>
    <mergeCell ref="AB116:AJ116"/>
    <mergeCell ref="A109:O109"/>
    <mergeCell ref="AB109:AJ109"/>
    <mergeCell ref="A110:O110"/>
    <mergeCell ref="AB110:AJ110"/>
    <mergeCell ref="A111:AJ111"/>
    <mergeCell ref="A112:O112"/>
    <mergeCell ref="AB112:AJ112"/>
    <mergeCell ref="A113:O113"/>
    <mergeCell ref="AB113:AJ113"/>
    <mergeCell ref="A114:AJ114"/>
    <mergeCell ref="A115:O115"/>
    <mergeCell ref="AB115:AJ115"/>
    <mergeCell ref="A103:O103"/>
    <mergeCell ref="AB103:AJ103"/>
    <mergeCell ref="A106:O106"/>
    <mergeCell ref="AB106:AJ106"/>
    <mergeCell ref="A107:O107"/>
    <mergeCell ref="AB107:AJ107"/>
    <mergeCell ref="A95:AJ95"/>
    <mergeCell ref="A99:O99"/>
    <mergeCell ref="AB99:AJ99"/>
    <mergeCell ref="A100:O100"/>
    <mergeCell ref="AB100:AJ100"/>
    <mergeCell ref="A102:O102"/>
    <mergeCell ref="AB102:AJ102"/>
  </mergeCells>
  <pageMargins left="0.78740157480314965" right="0.27559055118110237" top="0.39370078740157483" bottom="0.39370078740157483" header="0" footer="0"/>
  <pageSetup paperSize="9" scale="95" fitToHeight="3" orientation="portrait" r:id="rId1"/>
  <headerFooter alignWithMargins="0"/>
  <rowBreaks count="1" manualBreakCount="1">
    <brk id="51" max="35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9A00289-5A22-46B9-A943-A2FE3E047CAE}">
          <x14:formula1>
            <xm:f>'данные строй'!$A$3:$A$5</xm:f>
          </x14:formula1>
          <xm:sqref>J62:L62</xm:sqref>
        </x14:dataValidation>
        <x14:dataValidation type="list" allowBlank="1" showInputMessage="1" showErrorMessage="1" xr:uid="{07A0770D-8AF3-47B0-AC36-98A5FB91131B}">
          <x14:formula1>
            <xm:f>'данные строй'!$E$3:$E$4</xm:f>
          </x14:formula1>
          <xm:sqref>R62:S62</xm:sqref>
        </x14:dataValidation>
        <x14:dataValidation type="list" allowBlank="1" showInputMessage="1" showErrorMessage="1" xr:uid="{59F889AD-7985-4150-AB76-55B463561C7F}">
          <x14:formula1>
            <xm:f>'данные строй'!$D$3:$D$4</xm:f>
          </x14:formula1>
          <xm:sqref>A69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AZ116"/>
  <sheetViews>
    <sheetView view="pageBreakPreview" topLeftCell="A43" zoomScale="125" zoomScaleNormal="125" zoomScaleSheetLayoutView="125" workbookViewId="0">
      <selection activeCell="AL27" sqref="AL27"/>
    </sheetView>
  </sheetViews>
  <sheetFormatPr defaultColWidth="10.6640625" defaultRowHeight="13.8" x14ac:dyDescent="0.25"/>
  <cols>
    <col min="1" max="31" width="2.77734375" style="1" customWidth="1"/>
    <col min="32" max="32" width="3" style="1" customWidth="1"/>
    <col min="33" max="51" width="2.7773437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25.5" customHeight="1" x14ac:dyDescent="0.2">
      <c r="A4" s="132" t="str">
        <f>'Данные объект'!B3</f>
        <v>Строительство ТП - 6/0,4кВ, ВЛЗ-6 кВ от ВЛЗ-6кВ ф. ЦРП-48 - ТП-326 ПС №387 "Подрезково", ВЛИ-0,38 кВ, рлр, ВРЩ-0,4 кВ, в т.ч. ПИР, МО, Химкинский р-н, г. Химки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</row>
    <row r="5" spans="1:43" s="13" customFormat="1" ht="12" customHeight="1" x14ac:dyDescent="0.2">
      <c r="A5" s="130" t="str">
        <f>'Данные объект'!B9</f>
        <v>КЛ-0,4кВ ф.1 от КТП №1542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</row>
    <row r="6" spans="1:43" s="14" customFormat="1" ht="7.8" x14ac:dyDescent="0.15">
      <c r="A6" s="128" t="s">
        <v>183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</row>
    <row r="7" spans="1:43" s="13" customFormat="1" ht="12.75" customHeight="1" x14ac:dyDescent="0.2">
      <c r="A7" s="133" t="s">
        <v>42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</row>
    <row r="8" spans="1:43" s="13" customFormat="1" ht="12" customHeight="1" x14ac:dyDescent="0.2">
      <c r="A8" s="130" t="str">
        <f>'Данные объект'!B23</f>
        <v>ПАО "Россети Московский регион"</v>
      </c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</row>
    <row r="9" spans="1:43" s="14" customFormat="1" ht="19.5" customHeight="1" x14ac:dyDescent="0.15">
      <c r="A9" s="128" t="s">
        <v>58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</row>
    <row r="10" spans="1:43" s="13" customFormat="1" ht="12" customHeight="1" x14ac:dyDescent="0.2">
      <c r="A10" s="130" t="str">
        <f>'Данные объект'!B24</f>
        <v>ОГРН 1057746555811 ИНН 5036065113 КПП 772501001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</row>
    <row r="11" spans="1:43" s="14" customFormat="1" ht="28.5" customHeight="1" x14ac:dyDescent="0.15">
      <c r="A11" s="128" t="s">
        <v>59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</row>
    <row r="12" spans="1:43" s="13" customFormat="1" ht="12" customHeight="1" x14ac:dyDescent="0.2">
      <c r="A12" s="130" t="str">
        <f>'Данные объект'!B25</f>
        <v>115114, город Москва, проезд Павелецкий 2-й, дом 3, строение 2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</row>
    <row r="13" spans="1:43" s="14" customFormat="1" ht="11.25" customHeight="1" x14ac:dyDescent="0.15">
      <c r="A13" s="128" t="s">
        <v>43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0" t="str">
        <f>'Данные объект'!B11</f>
        <v>ООО"Энергосистемы"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</row>
    <row r="16" spans="1:43" s="14" customFormat="1" ht="9.75" customHeight="1" x14ac:dyDescent="0.15">
      <c r="A16" s="128" t="s">
        <v>37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</row>
    <row r="17" spans="1:36" s="13" customFormat="1" ht="12" customHeight="1" x14ac:dyDescent="0.2">
      <c r="A17" s="130" t="str">
        <f>'Данные объект'!B12</f>
        <v>ОГРН 1135044003709  ИНН 5044089069 КПП 504401001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</row>
    <row r="18" spans="1:36" s="14" customFormat="1" ht="8.25" customHeight="1" x14ac:dyDescent="0.15">
      <c r="A18" s="128" t="s">
        <v>44</v>
      </c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</row>
    <row r="19" spans="1:36" s="13" customFormat="1" ht="12" customHeight="1" x14ac:dyDescent="0.2">
      <c r="A19" s="130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</row>
    <row r="20" spans="1:36" s="14" customFormat="1" ht="27" customHeight="1" x14ac:dyDescent="0.15">
      <c r="A20" s="128" t="s">
        <v>60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0" t="str">
        <f>'Данные объект'!B39</f>
        <v>ООО"Энергосистемы"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</row>
    <row r="23" spans="1:36" s="14" customFormat="1" ht="7.5" customHeight="1" x14ac:dyDescent="0.15">
      <c r="A23" s="128" t="s">
        <v>37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</row>
    <row r="24" spans="1:36" s="13" customFormat="1" ht="12" customHeight="1" x14ac:dyDescent="0.2">
      <c r="A24" s="130" t="str">
        <f>'Данные объект'!B40</f>
        <v>ОГРН 1135044003709  ИНН 5044089069 КПП 504401001</v>
      </c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</row>
    <row r="25" spans="1:36" s="14" customFormat="1" ht="7.5" customHeight="1" x14ac:dyDescent="0.15">
      <c r="A25" s="128" t="s">
        <v>61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</row>
    <row r="26" spans="1:36" s="13" customFormat="1" ht="12" customHeight="1" x14ac:dyDescent="0.2">
      <c r="A26" s="130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</row>
    <row r="27" spans="1:36" s="14" customFormat="1" ht="22.5" customHeight="1" x14ac:dyDescent="0.15">
      <c r="A27" s="128" t="s">
        <v>45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" customHeight="1" x14ac:dyDescent="0.2">
      <c r="A29" s="131" t="s">
        <v>36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</row>
    <row r="30" spans="1:36" s="13" customFormat="1" ht="12.9" customHeight="1" x14ac:dyDescent="0.2">
      <c r="A30" s="136" t="s">
        <v>19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</row>
    <row r="31" spans="1:36" s="13" customFormat="1" ht="6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36" s="13" customFormat="1" ht="12.9" customHeight="1" x14ac:dyDescent="0.25">
      <c r="A32" s="24"/>
      <c r="B32" s="24" t="s">
        <v>18</v>
      </c>
      <c r="C32" s="25">
        <v>7</v>
      </c>
      <c r="D32" s="25"/>
      <c r="E32" s="127" t="s">
        <v>86</v>
      </c>
      <c r="F32" s="127"/>
      <c r="G32" s="127"/>
      <c r="H32" s="27"/>
      <c r="I32" s="27"/>
      <c r="J32" s="27"/>
      <c r="X32" s="21"/>
      <c r="Y32" s="32"/>
      <c r="Z32" s="32"/>
      <c r="AB32" s="135" t="str">
        <f>P78</f>
        <v>15.06.2026</v>
      </c>
      <c r="AC32" s="135"/>
      <c r="AD32" s="135"/>
      <c r="AE32" s="135"/>
      <c r="AF32" s="135"/>
      <c r="AG32" s="135"/>
      <c r="AH32" s="135"/>
      <c r="AI32" s="135"/>
      <c r="AJ32" s="13" t="s">
        <v>6</v>
      </c>
    </row>
    <row r="33" spans="1:52" s="14" customFormat="1" ht="9" customHeight="1" x14ac:dyDescent="0.15">
      <c r="Y33" s="15"/>
      <c r="Z33" s="16"/>
      <c r="AA33" s="15"/>
      <c r="AB33" s="137" t="s">
        <v>17</v>
      </c>
      <c r="AC33" s="137"/>
      <c r="AD33" s="137"/>
      <c r="AE33" s="137"/>
      <c r="AF33" s="137"/>
      <c r="AG33" s="137"/>
      <c r="AH33" s="137"/>
      <c r="AI33" s="137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3" t="s">
        <v>46</v>
      </c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</row>
    <row r="36" spans="1:52" s="13" customFormat="1" ht="25.5" customHeight="1" x14ac:dyDescent="0.2">
      <c r="A36" s="132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</row>
    <row r="37" spans="1:52" s="14" customFormat="1" ht="28.5" customHeight="1" x14ac:dyDescent="0.15">
      <c r="A37" s="128" t="s">
        <v>47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52" s="13" customFormat="1" ht="21.75" customHeight="1" x14ac:dyDescent="0.2">
      <c r="A38" s="132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</row>
    <row r="39" spans="1:52" s="14" customFormat="1" ht="25.5" customHeight="1" x14ac:dyDescent="0.2">
      <c r="A39" s="138" t="s">
        <v>48</v>
      </c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0" t="str">
        <f>'Данные объект'!C21</f>
        <v>Прораб ООО"Энергосистемы" Волков М.Ю..Приказ №05-ОТ/24 от 09 января 2024г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</row>
    <row r="42" spans="1:52" s="14" customFormat="1" ht="9" customHeight="1" x14ac:dyDescent="0.15">
      <c r="A42" s="128" t="s">
        <v>26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</row>
    <row r="43" spans="1:52" s="13" customFormat="1" ht="17.25" customHeight="1" x14ac:dyDescent="0.2">
      <c r="A43" s="133" t="s">
        <v>49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</row>
    <row r="44" spans="1:52" s="31" customFormat="1" ht="22.5" customHeight="1" x14ac:dyDescent="0.25">
      <c r="A44" s="132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</row>
    <row r="45" spans="1:52" s="14" customFormat="1" ht="30" customHeight="1" x14ac:dyDescent="0.15">
      <c r="A45" s="128" t="s">
        <v>50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52" s="14" customFormat="1" ht="10.199999999999999" x14ac:dyDescent="0.2">
      <c r="A46" s="133" t="s">
        <v>181</v>
      </c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</row>
    <row r="47" spans="1:52" s="14" customFormat="1" ht="11.25" customHeight="1" x14ac:dyDescent="0.15">
      <c r="A47" s="132" t="str">
        <f>'Данные объект'!$C$36</f>
        <v xml:space="preserve"> ПАО "Россети Московский регион" </v>
      </c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</row>
    <row r="48" spans="1:52" s="14" customFormat="1" ht="7.8" x14ac:dyDescent="0.15">
      <c r="A48" s="128" t="s">
        <v>26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8" s="13" customFormat="1" ht="35.25" customHeight="1" x14ac:dyDescent="0.2">
      <c r="A49" s="134" t="s">
        <v>51</v>
      </c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</row>
    <row r="50" spans="1:38" s="31" customFormat="1" ht="12.9" customHeight="1" x14ac:dyDescent="0.25">
      <c r="A50" s="130" t="s">
        <v>74</v>
      </c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</row>
    <row r="51" spans="1:38" s="14" customFormat="1" ht="29.25" customHeight="1" x14ac:dyDescent="0.15">
      <c r="A51" s="128" t="s">
        <v>52</v>
      </c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</row>
    <row r="52" spans="1:38" s="13" customFormat="1" ht="25.5" hidden="1" customHeight="1" x14ac:dyDescent="0.2">
      <c r="A52" s="134" t="s">
        <v>53</v>
      </c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</row>
    <row r="53" spans="1:38" s="13" customFormat="1" ht="12" hidden="1" customHeight="1" x14ac:dyDescent="0.2">
      <c r="A53" s="132" t="e">
        <f>CONCATENATE(#REF!,", ",#REF!," - ",#REF!)</f>
        <v>#REF!</v>
      </c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</row>
    <row r="54" spans="1:38" s="14" customFormat="1" ht="9.75" hidden="1" customHeight="1" x14ac:dyDescent="0.15">
      <c r="A54" s="128" t="s">
        <v>29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8" s="13" customFormat="1" ht="12" hidden="1" customHeight="1" x14ac:dyDescent="0.2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</row>
    <row r="56" spans="1:38" s="14" customFormat="1" ht="16.5" hidden="1" customHeight="1" x14ac:dyDescent="0.15">
      <c r="A56" s="128" t="s">
        <v>54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</row>
    <row r="57" spans="1:38" s="13" customFormat="1" ht="12" customHeight="1" x14ac:dyDescent="0.2">
      <c r="A57" s="13" t="s">
        <v>16</v>
      </c>
    </row>
    <row r="58" spans="1:38" s="13" customFormat="1" ht="12.9" customHeight="1" x14ac:dyDescent="0.25">
      <c r="A58" s="127" t="str">
        <f>'Данные объект'!B11</f>
        <v>ООО"Энергосистемы"</v>
      </c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127"/>
      <c r="AJ58" s="127"/>
    </row>
    <row r="59" spans="1:38" s="14" customFormat="1" ht="10.5" customHeight="1" x14ac:dyDescent="0.15">
      <c r="A59" s="142" t="s">
        <v>38</v>
      </c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</row>
    <row r="60" spans="1:38" s="13" customFormat="1" ht="12" customHeight="1" x14ac:dyDescent="0.2">
      <c r="A60" s="13" t="s">
        <v>15</v>
      </c>
    </row>
    <row r="61" spans="1:38" s="13" customFormat="1" ht="12" customHeight="1" x14ac:dyDescent="0.2">
      <c r="A61" s="13" t="s">
        <v>30</v>
      </c>
      <c r="AA61" s="66"/>
      <c r="AB61" s="66"/>
      <c r="AC61" s="66"/>
      <c r="AD61" s="66"/>
      <c r="AE61" s="66"/>
      <c r="AF61" s="66"/>
      <c r="AG61" s="66"/>
      <c r="AH61" s="66"/>
      <c r="AI61" s="66"/>
      <c r="AJ61" s="66"/>
    </row>
    <row r="62" spans="1:38" s="13" customFormat="1" ht="12" customHeight="1" x14ac:dyDescent="0.2">
      <c r="A62" s="148" t="str">
        <f>'АОСР-6'!A86:AJ86</f>
        <v>Обратная засыпка грунтом</v>
      </c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39" t="str">
        <f>'АОСР-1'!O62</f>
        <v>КЛ-0,4кВ</v>
      </c>
      <c r="U62" s="139"/>
      <c r="V62" s="139"/>
      <c r="W62" s="93" t="s">
        <v>170</v>
      </c>
      <c r="X62" s="139">
        <f>42.26+1.37+2.55</f>
        <v>46.179999999999993</v>
      </c>
      <c r="Y62" s="139"/>
      <c r="Z62" s="139"/>
      <c r="AA62" s="139" t="s">
        <v>82</v>
      </c>
      <c r="AB62" s="139"/>
      <c r="AC62" s="74"/>
      <c r="AD62" s="74"/>
      <c r="AE62" s="74"/>
      <c r="AF62" s="141"/>
      <c r="AG62" s="141"/>
      <c r="AH62" s="141"/>
      <c r="AI62" s="141"/>
      <c r="AJ62" s="141"/>
      <c r="AK62" s="64"/>
      <c r="AL62" s="64"/>
    </row>
    <row r="63" spans="1:38" s="14" customFormat="1" ht="8.25" customHeight="1" x14ac:dyDescent="0.15">
      <c r="A63" s="128" t="s">
        <v>14</v>
      </c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</row>
    <row r="64" spans="1:38" s="13" customFormat="1" ht="12" customHeight="1" x14ac:dyDescent="0.2">
      <c r="A64" s="13" t="s">
        <v>13</v>
      </c>
    </row>
    <row r="65" spans="1:36" s="13" customFormat="1" ht="12" customHeight="1" x14ac:dyDescent="0.2">
      <c r="A65" s="132" t="str">
        <f>'Данные объект'!B43</f>
        <v>4708-308092-125-11/24.ЭС</v>
      </c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 spans="1:36" s="14" customFormat="1" ht="15" customHeight="1" x14ac:dyDescent="0.15">
      <c r="A66" s="128" t="s">
        <v>39</v>
      </c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</row>
    <row r="67" spans="1:36" s="13" customFormat="1" ht="12" customHeight="1" x14ac:dyDescent="0.25">
      <c r="A67" s="13" t="s">
        <v>12</v>
      </c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</row>
    <row r="68" spans="1:36" s="18" customFormat="1" ht="7.5" customHeight="1" x14ac:dyDescent="0.1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43" t="s">
        <v>55</v>
      </c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</row>
    <row r="69" spans="1:36" s="13" customFormat="1" ht="12" customHeight="1" x14ac:dyDescent="0.2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34"/>
      <c r="AJ69" s="34"/>
    </row>
    <row r="70" spans="1:36" s="14" customFormat="1" ht="18.75" customHeight="1" x14ac:dyDescent="0.15">
      <c r="A70" s="128" t="s">
        <v>56</v>
      </c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5">
      <c r="A72" s="13" t="s">
        <v>10</v>
      </c>
      <c r="G72" s="127" t="s">
        <v>89</v>
      </c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25" t="s">
        <v>88</v>
      </c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</row>
    <row r="73" spans="1:36" s="14" customFormat="1" ht="7.5" customHeight="1" x14ac:dyDescent="0.15">
      <c r="A73" s="146"/>
      <c r="B73" s="146"/>
      <c r="C73" s="20"/>
      <c r="D73" s="20"/>
      <c r="E73" s="20"/>
      <c r="F73" s="20"/>
      <c r="G73" s="129" t="s">
        <v>9</v>
      </c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</row>
    <row r="74" spans="1:36" s="13" customFormat="1" ht="12" customHeight="1" x14ac:dyDescent="0.25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</row>
    <row r="75" spans="1:36" s="14" customFormat="1" ht="7.5" customHeight="1" x14ac:dyDescent="0.15">
      <c r="A75" s="128" t="s">
        <v>31</v>
      </c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5">
      <c r="A77" s="13" t="s">
        <v>8</v>
      </c>
      <c r="D77" s="28"/>
      <c r="E77" s="28"/>
      <c r="F77" s="28"/>
      <c r="G77" s="28"/>
      <c r="L77" s="21"/>
      <c r="M77" s="32"/>
      <c r="N77" s="32"/>
      <c r="P77" s="135" t="str">
        <f>'Данные объект'!B6</f>
        <v>09.06.2026</v>
      </c>
      <c r="Q77" s="135"/>
      <c r="R77" s="135"/>
      <c r="S77" s="135"/>
      <c r="T77" s="135"/>
      <c r="U77" s="135"/>
      <c r="V77" s="135"/>
      <c r="W77" s="135"/>
      <c r="X77" s="13" t="s">
        <v>6</v>
      </c>
    </row>
    <row r="78" spans="1:36" s="13" customFormat="1" ht="12" customHeight="1" x14ac:dyDescent="0.25">
      <c r="A78" s="13" t="s">
        <v>7</v>
      </c>
      <c r="D78" s="28"/>
      <c r="E78" s="28"/>
      <c r="F78" s="28"/>
      <c r="G78" s="28"/>
      <c r="L78" s="21"/>
      <c r="M78" s="32"/>
      <c r="N78" s="32"/>
      <c r="P78" s="145" t="str">
        <f>'Данные объект'!B7</f>
        <v>15.06.2026</v>
      </c>
      <c r="Q78" s="145"/>
      <c r="R78" s="145"/>
      <c r="S78" s="145"/>
      <c r="T78" s="145"/>
      <c r="U78" s="145"/>
      <c r="V78" s="145"/>
      <c r="W78" s="145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5">
      <c r="A81" s="144" t="s">
        <v>103</v>
      </c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</row>
    <row r="82" spans="1:36" s="14" customFormat="1" ht="8.25" customHeight="1" x14ac:dyDescent="0.15">
      <c r="A82" s="128" t="s">
        <v>4</v>
      </c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</row>
    <row r="83" spans="1:36" s="13" customFormat="1" ht="12" customHeight="1" x14ac:dyDescent="0.25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</row>
    <row r="84" spans="1:36" s="14" customFormat="1" ht="8.25" customHeight="1" x14ac:dyDescent="0.15">
      <c r="A84" s="128" t="s">
        <v>57</v>
      </c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5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</row>
    <row r="87" spans="1:36" s="14" customFormat="1" ht="9" customHeight="1" x14ac:dyDescent="0.15">
      <c r="A87" s="128" t="s">
        <v>32</v>
      </c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</row>
    <row r="88" spans="1:36" s="13" customFormat="1" ht="12" customHeight="1" x14ac:dyDescent="0.25">
      <c r="A88" s="13" t="s">
        <v>2</v>
      </c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5">
      <c r="A90" s="13" t="s">
        <v>87</v>
      </c>
      <c r="H90" s="127"/>
      <c r="I90" s="127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5">
      <c r="A93" s="25" t="s">
        <v>83</v>
      </c>
      <c r="B93" s="25" t="str">
        <f>G72</f>
        <v>Исполнителная схема устройства траншеи</v>
      </c>
      <c r="C93" s="25"/>
      <c r="D93" s="25"/>
      <c r="E93" s="25"/>
      <c r="F93" s="25"/>
      <c r="G93" s="25"/>
      <c r="H93" s="25"/>
      <c r="I93" s="25"/>
      <c r="J93" s="25"/>
      <c r="K93" s="25"/>
      <c r="L93" s="26"/>
      <c r="M93" s="25"/>
      <c r="N93" s="25"/>
      <c r="O93" s="25"/>
      <c r="P93" s="26" t="s">
        <v>74</v>
      </c>
      <c r="Q93" s="25" t="s">
        <v>84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4" customFormat="1" ht="9.75" customHeight="1" x14ac:dyDescent="0.15">
      <c r="A94" s="128" t="s">
        <v>0</v>
      </c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</row>
    <row r="95" spans="1:36" ht="6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</row>
    <row r="96" spans="1:36" s="13" customFormat="1" ht="12" customHeight="1" x14ac:dyDescent="0.2">
      <c r="A96" s="13" t="s">
        <v>23</v>
      </c>
    </row>
    <row r="97" spans="1:36" s="13" customFormat="1" ht="12" customHeight="1" x14ac:dyDescent="0.2">
      <c r="A97" s="13" t="s">
        <v>24</v>
      </c>
    </row>
    <row r="98" spans="1:36" s="13" customFormat="1" ht="12" customHeight="1" x14ac:dyDescent="0.25">
      <c r="A98" s="127" t="str">
        <f>'Данные объект'!B33</f>
        <v>Алексанян Г.Р.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127"/>
      <c r="AC98" s="127"/>
      <c r="AD98" s="127"/>
      <c r="AE98" s="127"/>
      <c r="AF98" s="127"/>
      <c r="AG98" s="127"/>
      <c r="AH98" s="127"/>
      <c r="AI98" s="127"/>
      <c r="AJ98" s="127"/>
    </row>
    <row r="99" spans="1:36" s="14" customFormat="1" ht="9" customHeight="1" x14ac:dyDescent="0.15">
      <c r="A99" s="142" t="s">
        <v>35</v>
      </c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7"/>
      <c r="Q99" s="17"/>
      <c r="R99" s="17"/>
      <c r="S99" s="17"/>
      <c r="T99" s="17"/>
      <c r="U99" s="18"/>
      <c r="V99" s="18"/>
      <c r="W99" s="18"/>
      <c r="X99" s="18"/>
      <c r="Y99" s="18"/>
      <c r="Z99" s="18"/>
      <c r="AA99" s="18"/>
      <c r="AB99" s="143" t="s">
        <v>34</v>
      </c>
      <c r="AC99" s="143"/>
      <c r="AD99" s="143"/>
      <c r="AE99" s="143"/>
      <c r="AF99" s="143"/>
      <c r="AG99" s="143"/>
      <c r="AH99" s="143"/>
      <c r="AI99" s="143"/>
      <c r="AJ99" s="143"/>
    </row>
    <row r="100" spans="1:36" s="13" customFormat="1" ht="12" customHeight="1" x14ac:dyDescent="0.2">
      <c r="A100" s="13" t="s">
        <v>25</v>
      </c>
    </row>
    <row r="101" spans="1:36" s="13" customFormat="1" ht="12" customHeight="1" x14ac:dyDescent="0.25">
      <c r="A101" s="127" t="str">
        <f>'Данные объект'!B20</f>
        <v>Волков М.Ю.</v>
      </c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127"/>
      <c r="AC101" s="127"/>
      <c r="AD101" s="127"/>
      <c r="AE101" s="127"/>
      <c r="AF101" s="127"/>
      <c r="AG101" s="127"/>
      <c r="AH101" s="127"/>
      <c r="AI101" s="127"/>
      <c r="AJ101" s="127"/>
    </row>
    <row r="102" spans="1:36" s="14" customFormat="1" ht="9" customHeight="1" x14ac:dyDescent="0.15">
      <c r="A102" s="142" t="s">
        <v>35</v>
      </c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7"/>
      <c r="Q102" s="17"/>
      <c r="R102" s="17"/>
      <c r="S102" s="17"/>
      <c r="T102" s="17"/>
      <c r="U102" s="18"/>
      <c r="V102" s="18"/>
      <c r="W102" s="18"/>
      <c r="X102" s="18"/>
      <c r="Y102" s="18"/>
      <c r="Z102" s="18"/>
      <c r="AA102" s="18"/>
      <c r="AB102" s="143" t="s">
        <v>34</v>
      </c>
      <c r="AC102" s="143"/>
      <c r="AD102" s="143"/>
      <c r="AE102" s="143"/>
      <c r="AF102" s="143"/>
      <c r="AG102" s="143"/>
      <c r="AH102" s="143"/>
      <c r="AI102" s="143"/>
      <c r="AJ102" s="143"/>
    </row>
    <row r="103" spans="1:36" s="13" customFormat="1" ht="12" customHeight="1" x14ac:dyDescent="0.2">
      <c r="A103" s="13" t="s">
        <v>27</v>
      </c>
    </row>
    <row r="104" spans="1:36" s="13" customFormat="1" ht="12" customHeight="1" x14ac:dyDescent="0.2">
      <c r="A104" s="13" t="s">
        <v>28</v>
      </c>
    </row>
    <row r="105" spans="1:36" s="13" customFormat="1" ht="12" customHeight="1" x14ac:dyDescent="0.25">
      <c r="A105" s="127" t="str">
        <f>'Данные объект'!B17</f>
        <v>Русин В.А.</v>
      </c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127"/>
      <c r="AC105" s="127"/>
      <c r="AD105" s="127"/>
      <c r="AE105" s="127"/>
      <c r="AF105" s="127"/>
      <c r="AG105" s="127"/>
      <c r="AH105" s="127"/>
      <c r="AI105" s="127"/>
      <c r="AJ105" s="127"/>
    </row>
    <row r="106" spans="1:36" s="14" customFormat="1" ht="9" customHeight="1" x14ac:dyDescent="0.15">
      <c r="A106" s="142" t="s">
        <v>35</v>
      </c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7"/>
      <c r="Q106" s="17"/>
      <c r="R106" s="17"/>
      <c r="S106" s="17"/>
      <c r="T106" s="17"/>
      <c r="U106" s="18"/>
      <c r="V106" s="18"/>
      <c r="W106" s="18"/>
      <c r="X106" s="18"/>
      <c r="Y106" s="18"/>
      <c r="Z106" s="18"/>
      <c r="AA106" s="18"/>
      <c r="AB106" s="143" t="s">
        <v>34</v>
      </c>
      <c r="AC106" s="143"/>
      <c r="AD106" s="143"/>
      <c r="AE106" s="143"/>
      <c r="AF106" s="143"/>
      <c r="AG106" s="143"/>
      <c r="AH106" s="143"/>
      <c r="AI106" s="143"/>
      <c r="AJ106" s="143"/>
    </row>
    <row r="107" spans="1:36" s="14" customFormat="1" ht="10.199999999999999" x14ac:dyDescent="0.2">
      <c r="A107" s="13" t="s">
        <v>182</v>
      </c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91"/>
      <c r="Q107" s="91"/>
      <c r="R107" s="91"/>
      <c r="S107" s="91"/>
      <c r="T107" s="91"/>
      <c r="U107" s="92"/>
      <c r="V107" s="92"/>
      <c r="W107" s="92"/>
      <c r="X107" s="92"/>
      <c r="Y107" s="92"/>
      <c r="Z107" s="92"/>
      <c r="AA107" s="92"/>
      <c r="AB107" s="83"/>
      <c r="AC107" s="83"/>
      <c r="AD107" s="83"/>
      <c r="AE107" s="83"/>
      <c r="AF107" s="83"/>
      <c r="AG107" s="83"/>
      <c r="AH107" s="83"/>
      <c r="AI107" s="83"/>
      <c r="AJ107" s="83"/>
    </row>
    <row r="108" spans="1:36" s="14" customFormat="1" ht="10.8" x14ac:dyDescent="0.25">
      <c r="A108" s="127">
        <f>'Данные объект'!$B$36</f>
        <v>0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91"/>
      <c r="Q108" s="91"/>
      <c r="R108" s="91"/>
      <c r="S108" s="91"/>
      <c r="T108" s="91"/>
      <c r="U108" s="92"/>
      <c r="V108" s="92"/>
      <c r="W108" s="92"/>
      <c r="X108" s="92"/>
      <c r="Y108" s="92"/>
      <c r="Z108" s="92"/>
      <c r="AA108" s="92"/>
      <c r="AB108" s="127"/>
      <c r="AC108" s="127"/>
      <c r="AD108" s="127"/>
      <c r="AE108" s="127"/>
      <c r="AF108" s="127"/>
      <c r="AG108" s="127"/>
      <c r="AH108" s="127"/>
      <c r="AI108" s="127"/>
      <c r="AJ108" s="127"/>
    </row>
    <row r="109" spans="1:36" s="14" customFormat="1" ht="9" customHeight="1" x14ac:dyDescent="0.15">
      <c r="A109" s="142" t="s">
        <v>35</v>
      </c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91"/>
      <c r="Q109" s="91"/>
      <c r="R109" s="91"/>
      <c r="S109" s="91"/>
      <c r="T109" s="91"/>
      <c r="U109" s="92"/>
      <c r="V109" s="92"/>
      <c r="W109" s="92"/>
      <c r="X109" s="92"/>
      <c r="Y109" s="92"/>
      <c r="Z109" s="92"/>
      <c r="AA109" s="92"/>
      <c r="AB109" s="143" t="s">
        <v>34</v>
      </c>
      <c r="AC109" s="143"/>
      <c r="AD109" s="143"/>
      <c r="AE109" s="143"/>
      <c r="AF109" s="143"/>
      <c r="AG109" s="143"/>
      <c r="AH109" s="143"/>
      <c r="AI109" s="143"/>
      <c r="AJ109" s="143"/>
    </row>
    <row r="110" spans="1:36" s="13" customFormat="1" ht="38.25" customHeight="1" x14ac:dyDescent="0.2">
      <c r="A110" s="134" t="s">
        <v>51</v>
      </c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4"/>
      <c r="AG110" s="134"/>
      <c r="AH110" s="134"/>
      <c r="AI110" s="134"/>
      <c r="AJ110" s="134"/>
    </row>
    <row r="111" spans="1:36" s="13" customFormat="1" ht="12" customHeight="1" x14ac:dyDescent="0.25">
      <c r="A111" s="127" t="s">
        <v>74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127" t="s">
        <v>74</v>
      </c>
      <c r="AC111" s="127"/>
      <c r="AD111" s="127"/>
      <c r="AE111" s="127"/>
      <c r="AF111" s="127"/>
      <c r="AG111" s="127"/>
      <c r="AH111" s="127"/>
      <c r="AI111" s="127"/>
      <c r="AJ111" s="127"/>
    </row>
    <row r="112" spans="1:36" s="14" customFormat="1" ht="9" customHeight="1" x14ac:dyDescent="0.15">
      <c r="A112" s="142" t="s">
        <v>35</v>
      </c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7"/>
      <c r="Q112" s="17"/>
      <c r="R112" s="17"/>
      <c r="S112" s="17"/>
      <c r="T112" s="17"/>
      <c r="U112" s="18"/>
      <c r="V112" s="18"/>
      <c r="W112" s="18"/>
      <c r="X112" s="18"/>
      <c r="Y112" s="18"/>
      <c r="Z112" s="18"/>
      <c r="AA112" s="18"/>
      <c r="AB112" s="143" t="s">
        <v>34</v>
      </c>
      <c r="AC112" s="143"/>
      <c r="AD112" s="143"/>
      <c r="AE112" s="143"/>
      <c r="AF112" s="143"/>
      <c r="AG112" s="143"/>
      <c r="AH112" s="143"/>
      <c r="AI112" s="143"/>
      <c r="AJ112" s="143"/>
    </row>
    <row r="113" spans="1:36" s="13" customFormat="1" ht="24.75" hidden="1" customHeight="1" x14ac:dyDescent="0.2">
      <c r="A113" s="134" t="s">
        <v>53</v>
      </c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4"/>
      <c r="AI113" s="134"/>
      <c r="AJ113" s="134"/>
    </row>
    <row r="114" spans="1:36" s="13" customFormat="1" ht="12" hidden="1" customHeight="1" x14ac:dyDescent="0.25">
      <c r="A114" s="127" t="e">
        <f>#REF!</f>
        <v>#REF!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127"/>
      <c r="AC114" s="127"/>
      <c r="AD114" s="127"/>
      <c r="AE114" s="127"/>
      <c r="AF114" s="127"/>
      <c r="AG114" s="127"/>
      <c r="AH114" s="127"/>
      <c r="AI114" s="127"/>
      <c r="AJ114" s="127"/>
    </row>
    <row r="115" spans="1:36" s="14" customFormat="1" ht="9" hidden="1" customHeight="1" x14ac:dyDescent="0.15">
      <c r="A115" s="142" t="s">
        <v>35</v>
      </c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7"/>
      <c r="Q115" s="17"/>
      <c r="R115" s="17"/>
      <c r="S115" s="17"/>
      <c r="T115" s="17"/>
      <c r="U115" s="18"/>
      <c r="V115" s="18"/>
      <c r="W115" s="18"/>
      <c r="X115" s="18"/>
      <c r="Y115" s="18"/>
      <c r="Z115" s="18"/>
      <c r="AA115" s="18"/>
      <c r="AB115" s="143" t="s">
        <v>34</v>
      </c>
      <c r="AC115" s="143"/>
      <c r="AD115" s="143"/>
      <c r="AE115" s="143"/>
      <c r="AF115" s="143"/>
      <c r="AG115" s="143"/>
      <c r="AH115" s="143"/>
      <c r="AI115" s="143"/>
      <c r="AJ115" s="143"/>
    </row>
    <row r="116" spans="1:36" ht="12" customHeight="1" x14ac:dyDescent="0.25"/>
  </sheetData>
  <mergeCells count="105">
    <mergeCell ref="A108:O108"/>
    <mergeCell ref="AB108:AJ108"/>
    <mergeCell ref="A109:O109"/>
    <mergeCell ref="AB109:AJ109"/>
    <mergeCell ref="A7:AJ7"/>
    <mergeCell ref="A9:AJ9"/>
    <mergeCell ref="A10:AJ10"/>
    <mergeCell ref="A11:AJ11"/>
    <mergeCell ref="A12:AJ12"/>
    <mergeCell ref="A13:AJ13"/>
    <mergeCell ref="A35:AJ35"/>
    <mergeCell ref="A36:AJ36"/>
    <mergeCell ref="A37:AJ37"/>
    <mergeCell ref="A38:AJ38"/>
    <mergeCell ref="A39:AJ39"/>
    <mergeCell ref="A26:AJ26"/>
    <mergeCell ref="A27:AJ27"/>
    <mergeCell ref="A29:AJ29"/>
    <mergeCell ref="A30:AJ30"/>
    <mergeCell ref="E32:G32"/>
    <mergeCell ref="A41:AJ41"/>
    <mergeCell ref="A42:AJ42"/>
    <mergeCell ref="A43:AJ43"/>
    <mergeCell ref="A59:AJ59"/>
    <mergeCell ref="A4:AJ4"/>
    <mergeCell ref="A5:AJ5"/>
    <mergeCell ref="A6:AJ6"/>
    <mergeCell ref="A8:AJ8"/>
    <mergeCell ref="A20:AJ20"/>
    <mergeCell ref="A22:AJ22"/>
    <mergeCell ref="A23:AJ23"/>
    <mergeCell ref="A24:AJ24"/>
    <mergeCell ref="A25:AJ25"/>
    <mergeCell ref="A15:AJ15"/>
    <mergeCell ref="A16:AJ16"/>
    <mergeCell ref="A17:AJ17"/>
    <mergeCell ref="A18:AJ18"/>
    <mergeCell ref="A19:AJ19"/>
    <mergeCell ref="A115:O115"/>
    <mergeCell ref="AB115:AJ115"/>
    <mergeCell ref="AB32:AI32"/>
    <mergeCell ref="AB33:AI33"/>
    <mergeCell ref="P77:W77"/>
    <mergeCell ref="P78:W78"/>
    <mergeCell ref="A111:O111"/>
    <mergeCell ref="AB111:AJ111"/>
    <mergeCell ref="A112:O112"/>
    <mergeCell ref="AB112:AJ112"/>
    <mergeCell ref="A113:AJ113"/>
    <mergeCell ref="A105:O105"/>
    <mergeCell ref="AB105:AJ105"/>
    <mergeCell ref="A106:O106"/>
    <mergeCell ref="AB106:AJ106"/>
    <mergeCell ref="A110:AJ110"/>
    <mergeCell ref="A99:O99"/>
    <mergeCell ref="A114:O114"/>
    <mergeCell ref="AB114:AJ114"/>
    <mergeCell ref="A44:AJ44"/>
    <mergeCell ref="A45:AJ45"/>
    <mergeCell ref="A49:AJ49"/>
    <mergeCell ref="A50:AJ50"/>
    <mergeCell ref="A51:AJ51"/>
    <mergeCell ref="AB99:AJ99"/>
    <mergeCell ref="A56:AJ56"/>
    <mergeCell ref="A58:AJ58"/>
    <mergeCell ref="A46:AJ46"/>
    <mergeCell ref="A47:AJ47"/>
    <mergeCell ref="A48:AJ48"/>
    <mergeCell ref="A52:AJ52"/>
    <mergeCell ref="A53:AJ53"/>
    <mergeCell ref="A54:AJ54"/>
    <mergeCell ref="A55:AJ55"/>
    <mergeCell ref="A65:AJ65"/>
    <mergeCell ref="A66:AJ66"/>
    <mergeCell ref="P67:AJ67"/>
    <mergeCell ref="P68:AJ68"/>
    <mergeCell ref="A75:AJ75"/>
    <mergeCell ref="A70:AJ70"/>
    <mergeCell ref="A62:S62"/>
    <mergeCell ref="T62:V62"/>
    <mergeCell ref="AF62:AH62"/>
    <mergeCell ref="AI62:AJ62"/>
    <mergeCell ref="X62:Z62"/>
    <mergeCell ref="AA62:AB62"/>
    <mergeCell ref="G72:U72"/>
    <mergeCell ref="W72:AJ72"/>
    <mergeCell ref="A73:B73"/>
    <mergeCell ref="G73:AJ73"/>
    <mergeCell ref="A63:AJ63"/>
    <mergeCell ref="A102:O102"/>
    <mergeCell ref="AB102:AJ102"/>
    <mergeCell ref="H90:I90"/>
    <mergeCell ref="A94:AJ94"/>
    <mergeCell ref="A98:O98"/>
    <mergeCell ref="AB98:AJ98"/>
    <mergeCell ref="A83:AJ83"/>
    <mergeCell ref="A84:AJ84"/>
    <mergeCell ref="A86:AJ86"/>
    <mergeCell ref="A87:AJ87"/>
    <mergeCell ref="L88:AJ88"/>
    <mergeCell ref="A81:AJ81"/>
    <mergeCell ref="A82:AJ82"/>
    <mergeCell ref="A74:AJ74"/>
    <mergeCell ref="A101:O101"/>
    <mergeCell ref="AB101:AJ101"/>
  </mergeCells>
  <pageMargins left="0.78740157480314965" right="0.27559055118110237" top="0.39370078740157483" bottom="0.39370078740157483" header="0" footer="0"/>
  <pageSetup paperSize="9" fitToHeight="3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C66C27-CA2B-4766-B0E6-7D4F22C0E86A}">
          <x14:formula1>
            <xm:f>'данные строй'!$E$3:$E$4</xm:f>
          </x14:formula1>
          <xm:sqref>N69:O69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438A-0663-4205-9CC7-96A0C508F04D}">
  <sheetPr>
    <tabColor rgb="FFFFFF00"/>
    <pageSetUpPr fitToPage="1"/>
  </sheetPr>
  <dimension ref="A1:AZ117"/>
  <sheetViews>
    <sheetView view="pageBreakPreview" zoomScale="125" zoomScaleNormal="125" zoomScaleSheetLayoutView="125" workbookViewId="0">
      <selection activeCell="BA22" sqref="BA22"/>
    </sheetView>
  </sheetViews>
  <sheetFormatPr defaultColWidth="10.6640625" defaultRowHeight="13.8" x14ac:dyDescent="0.25"/>
  <cols>
    <col min="1" max="14" width="2.77734375" style="1" customWidth="1"/>
    <col min="15" max="16" width="3.77734375" style="1" customWidth="1"/>
    <col min="17" max="17" width="5.33203125" style="1" customWidth="1"/>
    <col min="18" max="19" width="2.77734375" style="1" customWidth="1"/>
    <col min="20" max="20" width="4" style="1" customWidth="1"/>
    <col min="21" max="31" width="2.77734375" style="1" customWidth="1"/>
    <col min="32" max="32" width="3" style="1" customWidth="1"/>
    <col min="33" max="51" width="2.77734375" style="1" customWidth="1"/>
    <col min="52" max="16384" width="10.6640625" style="1"/>
  </cols>
  <sheetData>
    <row r="1" spans="1:43" s="13" customFormat="1" ht="12.75" customHeight="1" x14ac:dyDescent="0.2">
      <c r="AJ1" s="21" t="s">
        <v>41</v>
      </c>
    </row>
    <row r="2" spans="1:43" s="13" customFormat="1" ht="11.25" customHeight="1" x14ac:dyDescent="0.2">
      <c r="AJ2" s="21" t="s">
        <v>40</v>
      </c>
    </row>
    <row r="3" spans="1:43" s="13" customFormat="1" ht="14.25" customHeight="1" x14ac:dyDescent="0.2">
      <c r="A3" s="13" t="s">
        <v>21</v>
      </c>
      <c r="AJ3" s="22"/>
      <c r="AK3" s="22"/>
      <c r="AL3" s="22"/>
      <c r="AM3" s="22"/>
      <c r="AN3" s="22"/>
      <c r="AO3" s="22"/>
      <c r="AP3" s="22"/>
      <c r="AQ3" s="22"/>
    </row>
    <row r="4" spans="1:43" s="13" customFormat="1" ht="31.5" customHeight="1" x14ac:dyDescent="0.2">
      <c r="A4" s="132" t="str">
        <f>'Данные объект'!B3</f>
        <v>Строительство ТП - 6/0,4кВ, ВЛЗ-6 кВ от ВЛЗ-6кВ ф. ЦРП-48 - ТП-326 ПС №387 "Подрезково", ВЛИ-0,38 кВ, рлр, ВРЩ-0,4 кВ, в т.ч. ПИР, МО, Химкинский р-н, г. Химки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</row>
    <row r="5" spans="1:43" s="13" customFormat="1" ht="12" customHeight="1" x14ac:dyDescent="0.2">
      <c r="A5" s="130" t="str">
        <f>'Данные объект'!B9</f>
        <v>КЛ-0,4кВ ф.1 от КТП №1542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</row>
    <row r="6" spans="1:43" s="14" customFormat="1" ht="7.8" x14ac:dyDescent="0.15">
      <c r="A6" s="128" t="s">
        <v>183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</row>
    <row r="7" spans="1:43" s="13" customFormat="1" ht="12.75" customHeight="1" x14ac:dyDescent="0.2">
      <c r="A7" s="133" t="s">
        <v>42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</row>
    <row r="8" spans="1:43" s="13" customFormat="1" ht="12" customHeight="1" x14ac:dyDescent="0.2">
      <c r="A8" s="130" t="str">
        <f>'Данные объект'!B23</f>
        <v>ПАО "Россети Московский регион"</v>
      </c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</row>
    <row r="9" spans="1:43" s="14" customFormat="1" ht="19.5" customHeight="1" x14ac:dyDescent="0.15">
      <c r="A9" s="128" t="s">
        <v>58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</row>
    <row r="10" spans="1:43" s="13" customFormat="1" ht="12" customHeight="1" x14ac:dyDescent="0.2">
      <c r="A10" s="130" t="str">
        <f>'Данные объект'!B24</f>
        <v>ОГРН 1057746555811 ИНН 5036065113 КПП 772501001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</row>
    <row r="11" spans="1:43" s="14" customFormat="1" ht="28.5" customHeight="1" x14ac:dyDescent="0.15">
      <c r="A11" s="128" t="s">
        <v>59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</row>
    <row r="12" spans="1:43" s="13" customFormat="1" ht="12" customHeight="1" x14ac:dyDescent="0.2">
      <c r="A12" s="130" t="str">
        <f>'Данные объект'!B25</f>
        <v>115114, город Москва, проезд Павелецкий 2-й, дом 3, строение 2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</row>
    <row r="13" spans="1:43" s="14" customFormat="1" ht="11.25" customHeight="1" x14ac:dyDescent="0.15">
      <c r="A13" s="128" t="s">
        <v>43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</row>
    <row r="14" spans="1:43" s="13" customFormat="1" ht="12" customHeight="1" x14ac:dyDescent="0.2">
      <c r="A14" s="13" t="s">
        <v>22</v>
      </c>
    </row>
    <row r="15" spans="1:43" s="13" customFormat="1" ht="12" customHeight="1" x14ac:dyDescent="0.2">
      <c r="A15" s="130" t="str">
        <f>'Данные объект'!B11</f>
        <v>ООО"Энергосистемы"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</row>
    <row r="16" spans="1:43" s="14" customFormat="1" ht="9.75" customHeight="1" x14ac:dyDescent="0.15">
      <c r="A16" s="128" t="s">
        <v>37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</row>
    <row r="17" spans="1:36" s="13" customFormat="1" ht="12" customHeight="1" x14ac:dyDescent="0.2">
      <c r="A17" s="130" t="str">
        <f>'Данные объект'!B12</f>
        <v>ОГРН 1135044003709  ИНН 5044089069 КПП 504401001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</row>
    <row r="18" spans="1:36" s="14" customFormat="1" ht="8.25" customHeight="1" x14ac:dyDescent="0.15">
      <c r="A18" s="128" t="s">
        <v>44</v>
      </c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</row>
    <row r="19" spans="1:36" s="13" customFormat="1" ht="12" customHeight="1" x14ac:dyDescent="0.2">
      <c r="A19" s="130" t="str">
        <f>'Данные объект'!B13</f>
        <v xml:space="preserve">141508, Московская область, г.о. Солнечногорск, г. Солнечногорск, ул. Промышленная, стр. 5, помещение 179
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</row>
    <row r="20" spans="1:36" s="14" customFormat="1" ht="27" customHeight="1" x14ac:dyDescent="0.15">
      <c r="A20" s="128" t="s">
        <v>60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</row>
    <row r="21" spans="1:36" s="13" customFormat="1" ht="12" customHeight="1" x14ac:dyDescent="0.2">
      <c r="A21" s="13" t="s">
        <v>20</v>
      </c>
    </row>
    <row r="22" spans="1:36" s="13" customFormat="1" ht="12" customHeight="1" x14ac:dyDescent="0.2">
      <c r="A22" s="130" t="str">
        <f>'Данные объект'!B39</f>
        <v>ООО"Энергосистемы"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</row>
    <row r="23" spans="1:36" s="14" customFormat="1" ht="7.5" customHeight="1" x14ac:dyDescent="0.15">
      <c r="A23" s="128" t="s">
        <v>37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</row>
    <row r="24" spans="1:36" s="13" customFormat="1" ht="12" customHeight="1" x14ac:dyDescent="0.2">
      <c r="A24" s="130" t="str">
        <f>'Данные объект'!B40</f>
        <v>ОГРН 1135044003709  ИНН 5044089069 КПП 504401001</v>
      </c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</row>
    <row r="25" spans="1:36" s="14" customFormat="1" ht="7.5" customHeight="1" x14ac:dyDescent="0.15">
      <c r="A25" s="128" t="s">
        <v>61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</row>
    <row r="26" spans="1:36" s="13" customFormat="1" ht="12" customHeight="1" x14ac:dyDescent="0.2">
      <c r="A26" s="130" t="str">
        <f>'Данные объект'!B41</f>
        <v xml:space="preserve">141508, Московская область, г.о. Солнечногорск, г. Солнечногорск, ул. Промышленная, стр. 5, помещение 179
</v>
      </c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</row>
    <row r="27" spans="1:36" s="14" customFormat="1" ht="22.5" customHeight="1" x14ac:dyDescent="0.15">
      <c r="A27" s="128" t="s">
        <v>45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</row>
    <row r="28" spans="1:36" ht="9" customHeight="1" x14ac:dyDescent="0.25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s="13" customFormat="1" ht="12.9" customHeight="1" x14ac:dyDescent="0.2">
      <c r="A29" s="131" t="s">
        <v>36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</row>
    <row r="30" spans="1:36" s="13" customFormat="1" ht="12.9" customHeight="1" x14ac:dyDescent="0.2">
      <c r="A30" s="136" t="s">
        <v>19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</row>
    <row r="31" spans="1:36" s="13" customFormat="1" ht="6" customHeight="1" x14ac:dyDescent="0.2">
      <c r="A31" s="102"/>
      <c r="B31" s="102"/>
      <c r="C31" s="102"/>
      <c r="D31" s="102"/>
      <c r="E31" s="102"/>
      <c r="F31" s="102"/>
      <c r="G31" s="102"/>
      <c r="H31" s="102"/>
      <c r="I31" s="102"/>
      <c r="J31" s="102"/>
    </row>
    <row r="32" spans="1:36" s="13" customFormat="1" ht="12.9" customHeight="1" x14ac:dyDescent="0.25">
      <c r="A32" s="24"/>
      <c r="B32" s="24" t="s">
        <v>18</v>
      </c>
      <c r="C32" s="109"/>
      <c r="D32" s="25"/>
      <c r="E32" s="127" t="s">
        <v>86</v>
      </c>
      <c r="F32" s="127"/>
      <c r="G32" s="127"/>
      <c r="H32" s="27"/>
      <c r="I32" s="27"/>
      <c r="J32" s="27"/>
      <c r="X32" s="21"/>
      <c r="Y32" s="32"/>
      <c r="Z32" s="32"/>
      <c r="AB32" s="135" t="str">
        <f>P78</f>
        <v>15.06.2026</v>
      </c>
      <c r="AC32" s="135"/>
      <c r="AD32" s="135"/>
      <c r="AE32" s="135"/>
      <c r="AF32" s="135"/>
      <c r="AG32" s="135"/>
      <c r="AH32" s="135"/>
      <c r="AI32" s="135"/>
      <c r="AJ32" s="13" t="s">
        <v>6</v>
      </c>
    </row>
    <row r="33" spans="1:52" s="14" customFormat="1" ht="9" customHeight="1" x14ac:dyDescent="0.15">
      <c r="Y33" s="15"/>
      <c r="Z33" s="16"/>
      <c r="AA33" s="15"/>
      <c r="AB33" s="137" t="s">
        <v>17</v>
      </c>
      <c r="AC33" s="137"/>
      <c r="AD33" s="137"/>
      <c r="AE33" s="137"/>
      <c r="AF33" s="137"/>
      <c r="AG33" s="137"/>
      <c r="AH33" s="137"/>
      <c r="AI33" s="137"/>
    </row>
    <row r="34" spans="1:52" ht="6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4"/>
      <c r="AJ34" s="4"/>
    </row>
    <row r="35" spans="1:52" s="13" customFormat="1" ht="21" customHeight="1" x14ac:dyDescent="0.2">
      <c r="A35" s="133" t="s">
        <v>46</v>
      </c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</row>
    <row r="36" spans="1:52" s="13" customFormat="1" ht="25.5" customHeight="1" x14ac:dyDescent="0.2">
      <c r="A36" s="132" t="str">
        <f>'Данные объект'!C34</f>
        <v>Гл. специалист ССК УКС ПАО "Россети Московский регион" Алексанян Г.Р. Приказ №1904 от 03 июня 2026г (НРС С-50-069023)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</row>
    <row r="37" spans="1:52" s="14" customFormat="1" ht="28.5" customHeight="1" x14ac:dyDescent="0.15">
      <c r="A37" s="128" t="s">
        <v>47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</row>
    <row r="38" spans="1:52" s="13" customFormat="1" ht="21.75" customHeight="1" x14ac:dyDescent="0.2">
      <c r="A38" s="132" t="str">
        <f>'Данные объект'!C23</f>
        <v>ПАО "Россети Московский регион" ОГРН 1057746555811 ИНН 5036065113 КПП 772501001,115114, город Москва, проезд Павелецкий 2-й, дом 3, строение 2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</row>
    <row r="39" spans="1:52" s="14" customFormat="1" ht="25.5" customHeight="1" x14ac:dyDescent="0.2">
      <c r="A39" s="138" t="s">
        <v>48</v>
      </c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Z39" s="13"/>
    </row>
    <row r="40" spans="1:52" s="13" customFormat="1" ht="12" customHeight="1" x14ac:dyDescent="0.2">
      <c r="A40" s="13" t="s">
        <v>25</v>
      </c>
    </row>
    <row r="41" spans="1:52" s="13" customFormat="1" ht="12" customHeight="1" x14ac:dyDescent="0.2">
      <c r="A41" s="130" t="str">
        <f>'Данные объект'!C21</f>
        <v>Прораб ООО"Энергосистемы" Волков М.Ю..Приказ №05-ОТ/24 от 09 января 2024г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</row>
    <row r="42" spans="1:52" s="14" customFormat="1" ht="9" customHeight="1" x14ac:dyDescent="0.15">
      <c r="A42" s="128" t="s">
        <v>26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</row>
    <row r="43" spans="1:52" s="13" customFormat="1" ht="17.25" customHeight="1" x14ac:dyDescent="0.2">
      <c r="A43" s="133" t="s">
        <v>49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</row>
    <row r="44" spans="1:52" s="31" customFormat="1" ht="22.5" customHeight="1" x14ac:dyDescent="0.25">
      <c r="A44" s="132" t="str">
        <f>'Данные объект'!C18</f>
        <v>Инженер по строительному контролю ООО"Энергосистемы" Русин В.А..Приказ № 13-ОТ/25 от 05 мая 2025 (НОСТРОЙ С-50-085497)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</row>
    <row r="45" spans="1:52" s="14" customFormat="1" ht="30" customHeight="1" x14ac:dyDescent="0.15">
      <c r="A45" s="128" t="s">
        <v>50</v>
      </c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</row>
    <row r="46" spans="1:52" s="14" customFormat="1" ht="10.199999999999999" x14ac:dyDescent="0.2">
      <c r="A46" s="133" t="s">
        <v>181</v>
      </c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</row>
    <row r="47" spans="1:52" s="14" customFormat="1" ht="11.25" customHeight="1" x14ac:dyDescent="0.15">
      <c r="A47" s="132" t="str">
        <f>'Данные объект'!$C$36</f>
        <v xml:space="preserve"> ПАО "Россети Московский регион" </v>
      </c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</row>
    <row r="48" spans="1:52" s="14" customFormat="1" ht="7.8" x14ac:dyDescent="0.15">
      <c r="A48" s="128" t="s">
        <v>26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</row>
    <row r="49" spans="1:36" s="13" customFormat="1" ht="35.25" customHeight="1" x14ac:dyDescent="0.2">
      <c r="A49" s="134" t="s">
        <v>51</v>
      </c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</row>
    <row r="50" spans="1:36" s="31" customFormat="1" ht="12.9" customHeight="1" x14ac:dyDescent="0.25">
      <c r="A50" s="130" t="s">
        <v>74</v>
      </c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</row>
    <row r="51" spans="1:36" s="14" customFormat="1" ht="29.25" customHeight="1" x14ac:dyDescent="0.15">
      <c r="A51" s="128" t="s">
        <v>52</v>
      </c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</row>
    <row r="52" spans="1:36" s="13" customFormat="1" ht="25.5" hidden="1" customHeight="1" x14ac:dyDescent="0.2">
      <c r="A52" s="134" t="s">
        <v>53</v>
      </c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</row>
    <row r="53" spans="1:36" s="13" customFormat="1" ht="12" hidden="1" customHeight="1" x14ac:dyDescent="0.2">
      <c r="A53" s="132" t="e">
        <f>CONCATENATE(#REF!,", ",#REF!," - ",#REF!)</f>
        <v>#REF!</v>
      </c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</row>
    <row r="54" spans="1:36" s="14" customFormat="1" ht="9.75" hidden="1" customHeight="1" x14ac:dyDescent="0.15">
      <c r="A54" s="128" t="s">
        <v>29</v>
      </c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</row>
    <row r="55" spans="1:36" s="13" customFormat="1" ht="12" hidden="1" customHeight="1" x14ac:dyDescent="0.2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</row>
    <row r="56" spans="1:36" s="14" customFormat="1" ht="16.5" hidden="1" customHeight="1" x14ac:dyDescent="0.15">
      <c r="A56" s="128" t="s">
        <v>54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</row>
    <row r="57" spans="1:36" s="13" customFormat="1" ht="12" customHeight="1" x14ac:dyDescent="0.2">
      <c r="A57" s="13" t="s">
        <v>16</v>
      </c>
    </row>
    <row r="58" spans="1:36" s="13" customFormat="1" ht="12.9" customHeight="1" x14ac:dyDescent="0.25">
      <c r="A58" s="127" t="str">
        <f>'Данные объект'!B11</f>
        <v>ООО"Энергосистемы"</v>
      </c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127"/>
      <c r="AJ58" s="127"/>
    </row>
    <row r="59" spans="1:36" s="14" customFormat="1" ht="10.5" customHeight="1" x14ac:dyDescent="0.15">
      <c r="A59" s="142" t="s">
        <v>38</v>
      </c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</row>
    <row r="60" spans="1:36" s="13" customFormat="1" ht="12" customHeight="1" x14ac:dyDescent="0.2">
      <c r="A60" s="13" t="s">
        <v>15</v>
      </c>
    </row>
    <row r="61" spans="1:36" s="13" customFormat="1" ht="12" customHeight="1" x14ac:dyDescent="0.2">
      <c r="A61" s="13" t="s">
        <v>30</v>
      </c>
      <c r="T61" s="97"/>
    </row>
    <row r="62" spans="1:36" s="13" customFormat="1" ht="23.25" customHeight="1" x14ac:dyDescent="0.2">
      <c r="A62" s="162" t="s">
        <v>197</v>
      </c>
      <c r="B62" s="162"/>
      <c r="C62" s="162"/>
      <c r="D62" s="162"/>
      <c r="E62" s="162"/>
      <c r="F62" s="162"/>
      <c r="G62" s="73"/>
      <c r="H62" s="139" t="s">
        <v>198</v>
      </c>
      <c r="I62" s="139"/>
      <c r="J62" s="139"/>
      <c r="K62" s="139"/>
      <c r="L62" s="139"/>
      <c r="M62" s="139"/>
      <c r="N62" s="73"/>
      <c r="O62" s="108" t="s">
        <v>74</v>
      </c>
      <c r="P62" s="78"/>
      <c r="Q62" s="78" t="s">
        <v>195</v>
      </c>
      <c r="R62" s="78"/>
      <c r="S62" s="78"/>
      <c r="T62" s="107"/>
      <c r="U62" s="77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</row>
    <row r="63" spans="1:36" s="14" customFormat="1" ht="8.25" customHeight="1" x14ac:dyDescent="0.15">
      <c r="A63" s="153" t="s">
        <v>14</v>
      </c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  <c r="AH63" s="154"/>
      <c r="AI63" s="154"/>
      <c r="AJ63" s="154"/>
    </row>
    <row r="64" spans="1:36" s="13" customFormat="1" ht="12" customHeight="1" x14ac:dyDescent="0.2">
      <c r="A64" s="67" t="s">
        <v>13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</row>
    <row r="65" spans="1:36" s="13" customFormat="1" ht="12" customHeight="1" x14ac:dyDescent="0.2">
      <c r="A65" s="141" t="str">
        <f>'Данные объект'!B43</f>
        <v>4708-308092-125-11/24.ЭС</v>
      </c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</row>
    <row r="66" spans="1:36" s="14" customFormat="1" ht="15" customHeight="1" x14ac:dyDescent="0.15">
      <c r="A66" s="153" t="s">
        <v>39</v>
      </c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</row>
    <row r="67" spans="1:36" s="13" customFormat="1" ht="12" customHeight="1" x14ac:dyDescent="0.25">
      <c r="A67" s="67" t="s">
        <v>12</v>
      </c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</row>
    <row r="68" spans="1:36" s="18" customFormat="1" ht="7.5" customHeight="1" x14ac:dyDescent="0.1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156" t="s">
        <v>55</v>
      </c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</row>
    <row r="69" spans="1:36" s="13" customFormat="1" ht="18" customHeight="1" x14ac:dyDescent="0.2">
      <c r="A69" s="140" t="str">
        <f>H62</f>
        <v>Стабитерм-225</v>
      </c>
      <c r="B69" s="140"/>
      <c r="C69" s="140"/>
      <c r="D69" s="140"/>
      <c r="E69" s="140"/>
      <c r="F69" s="140"/>
      <c r="G69" s="140"/>
      <c r="H69" s="97"/>
      <c r="I69" s="97"/>
      <c r="J69" s="71" t="s">
        <v>74</v>
      </c>
      <c r="K69" s="141">
        <f>P62</f>
        <v>0</v>
      </c>
      <c r="L69" s="141"/>
      <c r="M69" s="141"/>
      <c r="N69" s="141"/>
      <c r="O69" s="74" t="str">
        <f>Q62</f>
        <v>м2</v>
      </c>
      <c r="P69" s="77"/>
      <c r="Q69" s="94" t="s">
        <v>194</v>
      </c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5"/>
      <c r="AH69" s="77"/>
      <c r="AI69" s="77"/>
      <c r="AJ69" s="77"/>
    </row>
    <row r="70" spans="1:36" s="14" customFormat="1" ht="18.75" customHeight="1" x14ac:dyDescent="0.15">
      <c r="A70" s="128" t="s">
        <v>56</v>
      </c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</row>
    <row r="71" spans="1:36" s="13" customFormat="1" ht="12" customHeight="1" x14ac:dyDescent="0.2">
      <c r="A71" s="13" t="s">
        <v>11</v>
      </c>
    </row>
    <row r="72" spans="1:36" s="13" customFormat="1" ht="12" customHeight="1" x14ac:dyDescent="0.25">
      <c r="A72" s="13" t="s">
        <v>10</v>
      </c>
      <c r="G72" s="127" t="s">
        <v>200</v>
      </c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25" t="s">
        <v>88</v>
      </c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</row>
    <row r="73" spans="1:36" s="14" customFormat="1" ht="7.5" customHeight="1" x14ac:dyDescent="0.15">
      <c r="A73" s="146"/>
      <c r="B73" s="146"/>
      <c r="C73" s="20"/>
      <c r="D73" s="20"/>
      <c r="E73" s="20"/>
      <c r="F73" s="20"/>
      <c r="G73" s="129" t="s">
        <v>9</v>
      </c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</row>
    <row r="74" spans="1:36" s="13" customFormat="1" ht="12" customHeight="1" x14ac:dyDescent="0.25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</row>
    <row r="75" spans="1:36" s="14" customFormat="1" ht="7.5" customHeight="1" x14ac:dyDescent="0.15">
      <c r="A75" s="128" t="s">
        <v>31</v>
      </c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</row>
    <row r="76" spans="1:36" ht="9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s="13" customFormat="1" ht="12" customHeight="1" x14ac:dyDescent="0.25">
      <c r="A77" s="13" t="s">
        <v>8</v>
      </c>
      <c r="D77" s="28"/>
      <c r="E77" s="28"/>
      <c r="F77" s="28"/>
      <c r="G77" s="28"/>
      <c r="L77" s="21"/>
      <c r="M77" s="32"/>
      <c r="N77" s="32"/>
      <c r="P77" s="135" t="str">
        <f>'Данные объект'!B6</f>
        <v>09.06.2026</v>
      </c>
      <c r="Q77" s="135"/>
      <c r="R77" s="135"/>
      <c r="S77" s="135"/>
      <c r="T77" s="135"/>
      <c r="U77" s="135"/>
      <c r="V77" s="135"/>
      <c r="W77" s="135"/>
      <c r="X77" s="13" t="s">
        <v>6</v>
      </c>
    </row>
    <row r="78" spans="1:36" s="13" customFormat="1" ht="12" customHeight="1" x14ac:dyDescent="0.25">
      <c r="A78" s="13" t="s">
        <v>7</v>
      </c>
      <c r="D78" s="28"/>
      <c r="E78" s="28"/>
      <c r="F78" s="28"/>
      <c r="G78" s="28"/>
      <c r="L78" s="21"/>
      <c r="M78" s="32"/>
      <c r="N78" s="32"/>
      <c r="P78" s="145" t="str">
        <f>'Данные объект'!B7</f>
        <v>15.06.2026</v>
      </c>
      <c r="Q78" s="145"/>
      <c r="R78" s="145"/>
      <c r="S78" s="145"/>
      <c r="T78" s="145"/>
      <c r="U78" s="145"/>
      <c r="V78" s="145"/>
      <c r="W78" s="145"/>
      <c r="X78" s="13" t="s">
        <v>6</v>
      </c>
    </row>
    <row r="79" spans="1:36" ht="7.5" customHeight="1" x14ac:dyDescent="0.25">
      <c r="A79" s="7"/>
      <c r="B79" s="7"/>
      <c r="C79" s="7"/>
      <c r="D79" s="10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s="13" customFormat="1" ht="12" customHeight="1" x14ac:dyDescent="0.2">
      <c r="A80" s="13" t="s">
        <v>5</v>
      </c>
    </row>
    <row r="81" spans="1:36" s="13" customFormat="1" ht="12" customHeight="1" x14ac:dyDescent="0.25">
      <c r="A81" s="144" t="s">
        <v>103</v>
      </c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</row>
    <row r="82" spans="1:36" s="14" customFormat="1" ht="8.25" customHeight="1" x14ac:dyDescent="0.15">
      <c r="A82" s="128" t="s">
        <v>4</v>
      </c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</row>
    <row r="83" spans="1:36" s="13" customFormat="1" ht="12" customHeight="1" x14ac:dyDescent="0.25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</row>
    <row r="84" spans="1:36" s="14" customFormat="1" ht="8.25" customHeight="1" x14ac:dyDescent="0.15">
      <c r="A84" s="128" t="s">
        <v>57</v>
      </c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</row>
    <row r="85" spans="1:36" s="13" customFormat="1" ht="12" customHeight="1" x14ac:dyDescent="0.2">
      <c r="A85" s="13" t="s">
        <v>3</v>
      </c>
    </row>
    <row r="86" spans="1:36" s="13" customFormat="1" ht="12" customHeight="1" x14ac:dyDescent="0.25">
      <c r="A86" s="127" t="s">
        <v>97</v>
      </c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</row>
    <row r="87" spans="1:36" s="14" customFormat="1" ht="9" customHeight="1" x14ac:dyDescent="0.15">
      <c r="A87" s="128" t="s">
        <v>32</v>
      </c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</row>
    <row r="88" spans="1:36" s="13" customFormat="1" ht="12" customHeight="1" x14ac:dyDescent="0.25">
      <c r="A88" s="13" t="s">
        <v>2</v>
      </c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</row>
    <row r="89" spans="1:36" ht="6" customHeight="1" x14ac:dyDescent="0.25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s="13" customFormat="1" ht="12" customHeight="1" x14ac:dyDescent="0.25">
      <c r="A90" s="13" t="s">
        <v>87</v>
      </c>
      <c r="H90" s="127"/>
      <c r="I90" s="127"/>
      <c r="J90" s="13" t="s">
        <v>33</v>
      </c>
    </row>
    <row r="91" spans="1:36" ht="4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s="13" customFormat="1" ht="12" customHeight="1" x14ac:dyDescent="0.2">
      <c r="A92" s="13" t="s">
        <v>1</v>
      </c>
    </row>
    <row r="93" spans="1:36" s="13" customFormat="1" ht="12" customHeight="1" x14ac:dyDescent="0.25">
      <c r="A93" s="25" t="s">
        <v>83</v>
      </c>
      <c r="B93" s="25" t="s">
        <v>199</v>
      </c>
      <c r="C93" s="25"/>
      <c r="D93" s="25"/>
      <c r="E93" s="25"/>
      <c r="F93" s="25"/>
      <c r="G93" s="25"/>
      <c r="H93" s="25"/>
      <c r="I93" s="25"/>
      <c r="J93" s="25"/>
      <c r="K93" s="25"/>
      <c r="L93" s="99"/>
      <c r="M93" s="25"/>
      <c r="N93" s="25"/>
      <c r="O93" s="25"/>
      <c r="P93" s="97"/>
      <c r="Q93" s="97"/>
      <c r="R93" s="97"/>
      <c r="S93" s="25"/>
      <c r="T93" s="25"/>
      <c r="U93" s="25"/>
      <c r="V93" s="99" t="s">
        <v>74</v>
      </c>
      <c r="W93" s="25" t="s">
        <v>84</v>
      </c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s="13" customFormat="1" ht="12" customHeight="1" x14ac:dyDescent="0.25">
      <c r="A94" s="33" t="s">
        <v>85</v>
      </c>
      <c r="B94" s="96" t="str">
        <f>Q69</f>
        <v>Сертификат №</v>
      </c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8"/>
      <c r="N94" s="98"/>
      <c r="O94" s="98"/>
      <c r="P94" s="97"/>
      <c r="Q94" s="97"/>
      <c r="R94" s="97"/>
      <c r="S94" s="25"/>
      <c r="T94" s="33"/>
      <c r="U94" s="33"/>
      <c r="V94" s="29" t="s">
        <v>74</v>
      </c>
      <c r="W94" s="33" t="s">
        <v>84</v>
      </c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s="14" customFormat="1" ht="9.75" customHeight="1" x14ac:dyDescent="0.15">
      <c r="A95" s="128" t="s">
        <v>0</v>
      </c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</row>
    <row r="96" spans="1:36" ht="6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1:36" s="13" customFormat="1" ht="12" customHeight="1" x14ac:dyDescent="0.2">
      <c r="A97" s="13" t="s">
        <v>23</v>
      </c>
    </row>
    <row r="98" spans="1:36" s="13" customFormat="1" ht="12" customHeight="1" x14ac:dyDescent="0.2">
      <c r="A98" s="13" t="s">
        <v>24</v>
      </c>
    </row>
    <row r="99" spans="1:36" s="13" customFormat="1" ht="12" customHeight="1" x14ac:dyDescent="0.25">
      <c r="A99" s="127" t="str">
        <f>'Данные объект'!B33</f>
        <v>Алексанян Г.Р.</v>
      </c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127"/>
      <c r="AC99" s="127"/>
      <c r="AD99" s="127"/>
      <c r="AE99" s="127"/>
      <c r="AF99" s="127"/>
      <c r="AG99" s="127"/>
      <c r="AH99" s="127"/>
      <c r="AI99" s="127"/>
      <c r="AJ99" s="127"/>
    </row>
    <row r="100" spans="1:36" s="14" customFormat="1" ht="9" customHeight="1" x14ac:dyDescent="0.15">
      <c r="A100" s="142" t="s">
        <v>35</v>
      </c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43" t="s">
        <v>34</v>
      </c>
      <c r="AC100" s="143"/>
      <c r="AD100" s="143"/>
      <c r="AE100" s="143"/>
      <c r="AF100" s="143"/>
      <c r="AG100" s="143"/>
      <c r="AH100" s="143"/>
      <c r="AI100" s="143"/>
      <c r="AJ100" s="143"/>
    </row>
    <row r="101" spans="1:36" s="13" customFormat="1" ht="12" customHeight="1" x14ac:dyDescent="0.2">
      <c r="A101" s="13" t="s">
        <v>25</v>
      </c>
    </row>
    <row r="102" spans="1:36" s="13" customFormat="1" ht="12" customHeight="1" x14ac:dyDescent="0.25">
      <c r="A102" s="127" t="str">
        <f>'Данные объект'!B20</f>
        <v>Волков М.Ю.</v>
      </c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127"/>
      <c r="AC102" s="127"/>
      <c r="AD102" s="127"/>
      <c r="AE102" s="127"/>
      <c r="AF102" s="127"/>
      <c r="AG102" s="127"/>
      <c r="AH102" s="127"/>
      <c r="AI102" s="127"/>
      <c r="AJ102" s="127"/>
    </row>
    <row r="103" spans="1:36" s="14" customFormat="1" ht="9" customHeight="1" x14ac:dyDescent="0.15">
      <c r="A103" s="142" t="s">
        <v>35</v>
      </c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43" t="s">
        <v>34</v>
      </c>
      <c r="AC103" s="143"/>
      <c r="AD103" s="143"/>
      <c r="AE103" s="143"/>
      <c r="AF103" s="143"/>
      <c r="AG103" s="143"/>
      <c r="AH103" s="143"/>
      <c r="AI103" s="143"/>
      <c r="AJ103" s="143"/>
    </row>
    <row r="104" spans="1:36" s="13" customFormat="1" ht="12" customHeight="1" x14ac:dyDescent="0.2">
      <c r="A104" s="13" t="s">
        <v>27</v>
      </c>
    </row>
    <row r="105" spans="1:36" s="13" customFormat="1" ht="12" customHeight="1" x14ac:dyDescent="0.2">
      <c r="A105" s="13" t="s">
        <v>28</v>
      </c>
    </row>
    <row r="106" spans="1:36" s="13" customFormat="1" ht="12" customHeight="1" x14ac:dyDescent="0.25">
      <c r="A106" s="127" t="str">
        <f>'Данные объект'!B17</f>
        <v>Русин В.А.</v>
      </c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127"/>
      <c r="AC106" s="127"/>
      <c r="AD106" s="127"/>
      <c r="AE106" s="127"/>
      <c r="AF106" s="127"/>
      <c r="AG106" s="127"/>
      <c r="AH106" s="127"/>
      <c r="AI106" s="127"/>
      <c r="AJ106" s="127"/>
    </row>
    <row r="107" spans="1:36" s="14" customFormat="1" ht="9" customHeight="1" x14ac:dyDescent="0.15">
      <c r="A107" s="142" t="s">
        <v>35</v>
      </c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43" t="s">
        <v>34</v>
      </c>
      <c r="AC107" s="143"/>
      <c r="AD107" s="143"/>
      <c r="AE107" s="143"/>
      <c r="AF107" s="143"/>
      <c r="AG107" s="143"/>
      <c r="AH107" s="143"/>
      <c r="AI107" s="143"/>
      <c r="AJ107" s="143"/>
    </row>
    <row r="108" spans="1:36" s="14" customFormat="1" ht="10.199999999999999" x14ac:dyDescent="0.2">
      <c r="A108" s="13" t="s">
        <v>182</v>
      </c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91"/>
      <c r="Q108" s="91"/>
      <c r="R108" s="91"/>
      <c r="S108" s="91"/>
      <c r="T108" s="91"/>
      <c r="U108" s="92"/>
      <c r="V108" s="92"/>
      <c r="W108" s="92"/>
      <c r="X108" s="92"/>
      <c r="Y108" s="92"/>
      <c r="Z108" s="92"/>
      <c r="AA108" s="92"/>
      <c r="AB108" s="101"/>
      <c r="AC108" s="101"/>
      <c r="AD108" s="101"/>
      <c r="AE108" s="101"/>
      <c r="AF108" s="101"/>
      <c r="AG108" s="101"/>
      <c r="AH108" s="101"/>
      <c r="AI108" s="101"/>
      <c r="AJ108" s="101"/>
    </row>
    <row r="109" spans="1:36" s="14" customFormat="1" ht="10.8" x14ac:dyDescent="0.25">
      <c r="A109" s="127">
        <f>'Данные объект'!$B$36</f>
        <v>0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91"/>
      <c r="Q109" s="91"/>
      <c r="R109" s="91"/>
      <c r="S109" s="91"/>
      <c r="T109" s="91"/>
      <c r="U109" s="92"/>
      <c r="V109" s="92"/>
      <c r="W109" s="92"/>
      <c r="X109" s="92"/>
      <c r="Y109" s="92"/>
      <c r="Z109" s="92"/>
      <c r="AA109" s="92"/>
      <c r="AB109" s="127"/>
      <c r="AC109" s="127"/>
      <c r="AD109" s="127"/>
      <c r="AE109" s="127"/>
      <c r="AF109" s="127"/>
      <c r="AG109" s="127"/>
      <c r="AH109" s="127"/>
      <c r="AI109" s="127"/>
      <c r="AJ109" s="127"/>
    </row>
    <row r="110" spans="1:36" s="14" customFormat="1" ht="9.6" x14ac:dyDescent="0.15">
      <c r="A110" s="142" t="s">
        <v>35</v>
      </c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91"/>
      <c r="Q110" s="91"/>
      <c r="R110" s="91"/>
      <c r="S110" s="91"/>
      <c r="T110" s="91"/>
      <c r="U110" s="92"/>
      <c r="V110" s="92"/>
      <c r="W110" s="92"/>
      <c r="X110" s="92"/>
      <c r="Y110" s="92"/>
      <c r="Z110" s="92"/>
      <c r="AA110" s="92"/>
      <c r="AB110" s="143" t="s">
        <v>34</v>
      </c>
      <c r="AC110" s="143"/>
      <c r="AD110" s="143"/>
      <c r="AE110" s="143"/>
      <c r="AF110" s="143"/>
      <c r="AG110" s="143"/>
      <c r="AH110" s="143"/>
      <c r="AI110" s="143"/>
      <c r="AJ110" s="143"/>
    </row>
    <row r="111" spans="1:36" s="13" customFormat="1" ht="38.25" customHeight="1" x14ac:dyDescent="0.2">
      <c r="A111" s="134" t="s">
        <v>51</v>
      </c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34"/>
      <c r="AJ111" s="134"/>
    </row>
    <row r="112" spans="1:36" s="13" customFormat="1" ht="12" customHeight="1" x14ac:dyDescent="0.25">
      <c r="A112" s="127" t="s">
        <v>74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127" t="s">
        <v>74</v>
      </c>
      <c r="AC112" s="127"/>
      <c r="AD112" s="127"/>
      <c r="AE112" s="127"/>
      <c r="AF112" s="127"/>
      <c r="AG112" s="127"/>
      <c r="AH112" s="127"/>
      <c r="AI112" s="127"/>
      <c r="AJ112" s="127"/>
    </row>
    <row r="113" spans="1:36" s="14" customFormat="1" ht="9" customHeight="1" x14ac:dyDescent="0.15">
      <c r="A113" s="142" t="s">
        <v>35</v>
      </c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43" t="s">
        <v>34</v>
      </c>
      <c r="AC113" s="143"/>
      <c r="AD113" s="143"/>
      <c r="AE113" s="143"/>
      <c r="AF113" s="143"/>
      <c r="AG113" s="143"/>
      <c r="AH113" s="143"/>
      <c r="AI113" s="143"/>
      <c r="AJ113" s="143"/>
    </row>
    <row r="114" spans="1:36" s="13" customFormat="1" ht="24.75" hidden="1" customHeight="1" x14ac:dyDescent="0.2">
      <c r="A114" s="134" t="s">
        <v>53</v>
      </c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  <c r="AE114" s="134"/>
      <c r="AF114" s="134"/>
      <c r="AG114" s="134"/>
      <c r="AH114" s="134"/>
      <c r="AI114" s="134"/>
      <c r="AJ114" s="134"/>
    </row>
    <row r="115" spans="1:36" s="13" customFormat="1" ht="12" hidden="1" customHeight="1" x14ac:dyDescent="0.25">
      <c r="A115" s="127" t="e">
        <f>#REF!</f>
        <v>#REF!</v>
      </c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127"/>
      <c r="AC115" s="127"/>
      <c r="AD115" s="127"/>
      <c r="AE115" s="127"/>
      <c r="AF115" s="127"/>
      <c r="AG115" s="127"/>
      <c r="AH115" s="127"/>
      <c r="AI115" s="127"/>
      <c r="AJ115" s="127"/>
    </row>
    <row r="116" spans="1:36" s="14" customFormat="1" ht="9" hidden="1" customHeight="1" x14ac:dyDescent="0.15">
      <c r="A116" s="142" t="s">
        <v>35</v>
      </c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43" t="s">
        <v>34</v>
      </c>
      <c r="AC116" s="143"/>
      <c r="AD116" s="143"/>
      <c r="AE116" s="143"/>
      <c r="AF116" s="143"/>
      <c r="AG116" s="143"/>
      <c r="AH116" s="143"/>
      <c r="AI116" s="143"/>
      <c r="AJ116" s="143"/>
    </row>
    <row r="117" spans="1:36" ht="12" customHeight="1" x14ac:dyDescent="0.25"/>
  </sheetData>
  <mergeCells count="103">
    <mergeCell ref="A4:AJ4"/>
    <mergeCell ref="A5:AJ5"/>
    <mergeCell ref="A6:AJ6"/>
    <mergeCell ref="A7:AJ7"/>
    <mergeCell ref="A8:AJ8"/>
    <mergeCell ref="A9:AJ9"/>
    <mergeCell ref="A17:AJ17"/>
    <mergeCell ref="A18:AJ18"/>
    <mergeCell ref="A19:AJ19"/>
    <mergeCell ref="A20:AJ20"/>
    <mergeCell ref="A22:AJ22"/>
    <mergeCell ref="A23:AJ23"/>
    <mergeCell ref="A10:AJ10"/>
    <mergeCell ref="A11:AJ11"/>
    <mergeCell ref="A12:AJ12"/>
    <mergeCell ref="A13:AJ13"/>
    <mergeCell ref="A15:AJ15"/>
    <mergeCell ref="A16:AJ16"/>
    <mergeCell ref="E32:G32"/>
    <mergeCell ref="AB32:AI32"/>
    <mergeCell ref="AB33:AI33"/>
    <mergeCell ref="A35:AJ35"/>
    <mergeCell ref="A36:AJ36"/>
    <mergeCell ref="A37:AJ37"/>
    <mergeCell ref="A24:AJ24"/>
    <mergeCell ref="A25:AJ25"/>
    <mergeCell ref="A26:AJ26"/>
    <mergeCell ref="A27:AJ27"/>
    <mergeCell ref="A29:AJ29"/>
    <mergeCell ref="A30:AJ30"/>
    <mergeCell ref="A45:AJ45"/>
    <mergeCell ref="A46:AJ46"/>
    <mergeCell ref="A47:AJ47"/>
    <mergeCell ref="A48:AJ48"/>
    <mergeCell ref="A49:AJ49"/>
    <mergeCell ref="A50:AJ50"/>
    <mergeCell ref="A38:AJ38"/>
    <mergeCell ref="A39:AJ39"/>
    <mergeCell ref="A41:AJ41"/>
    <mergeCell ref="A42:AJ42"/>
    <mergeCell ref="A43:AJ43"/>
    <mergeCell ref="A44:AJ44"/>
    <mergeCell ref="A58:AJ58"/>
    <mergeCell ref="A59:AJ59"/>
    <mergeCell ref="A62:F62"/>
    <mergeCell ref="H62:M62"/>
    <mergeCell ref="A63:AJ63"/>
    <mergeCell ref="A51:AJ51"/>
    <mergeCell ref="A52:AJ52"/>
    <mergeCell ref="A53:AJ53"/>
    <mergeCell ref="A54:AJ54"/>
    <mergeCell ref="A55:AJ55"/>
    <mergeCell ref="A56:AJ56"/>
    <mergeCell ref="A70:AJ70"/>
    <mergeCell ref="G72:U72"/>
    <mergeCell ref="W72:AJ72"/>
    <mergeCell ref="A73:B73"/>
    <mergeCell ref="G73:AJ73"/>
    <mergeCell ref="A74:AJ74"/>
    <mergeCell ref="A65:AJ65"/>
    <mergeCell ref="A66:AJ66"/>
    <mergeCell ref="P67:AJ67"/>
    <mergeCell ref="P68:AJ68"/>
    <mergeCell ref="K69:N69"/>
    <mergeCell ref="A69:G69"/>
    <mergeCell ref="A84:AJ84"/>
    <mergeCell ref="A86:AJ86"/>
    <mergeCell ref="A87:AJ87"/>
    <mergeCell ref="L88:AJ88"/>
    <mergeCell ref="H90:I90"/>
    <mergeCell ref="A95:AJ95"/>
    <mergeCell ref="A75:AJ75"/>
    <mergeCell ref="P77:W77"/>
    <mergeCell ref="P78:W78"/>
    <mergeCell ref="A81:AJ81"/>
    <mergeCell ref="A82:AJ82"/>
    <mergeCell ref="A83:AJ83"/>
    <mergeCell ref="A103:O103"/>
    <mergeCell ref="AB103:AJ103"/>
    <mergeCell ref="A106:O106"/>
    <mergeCell ref="AB106:AJ106"/>
    <mergeCell ref="A107:O107"/>
    <mergeCell ref="AB107:AJ107"/>
    <mergeCell ref="A99:O99"/>
    <mergeCell ref="AB99:AJ99"/>
    <mergeCell ref="A100:O100"/>
    <mergeCell ref="AB100:AJ100"/>
    <mergeCell ref="A102:O102"/>
    <mergeCell ref="AB102:AJ102"/>
    <mergeCell ref="A113:O113"/>
    <mergeCell ref="AB113:AJ113"/>
    <mergeCell ref="A114:AJ114"/>
    <mergeCell ref="A115:O115"/>
    <mergeCell ref="AB115:AJ115"/>
    <mergeCell ref="A116:O116"/>
    <mergeCell ref="AB116:AJ116"/>
    <mergeCell ref="A109:O109"/>
    <mergeCell ref="AB109:AJ109"/>
    <mergeCell ref="A110:O110"/>
    <mergeCell ref="AB110:AJ110"/>
    <mergeCell ref="A111:AJ111"/>
    <mergeCell ref="A112:O112"/>
    <mergeCell ref="AB112:AJ112"/>
  </mergeCells>
  <pageMargins left="0.78740157480314965" right="0.27559055118110237" top="0.39370078740157483" bottom="0.39370078740157483" header="0" footer="0"/>
  <pageSetup paperSize="9" scale="97" fitToHeight="3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6CC77F-A310-4DB8-9A15-3E99CA45BE35}">
          <x14:formula1>
            <xm:f>'данные строй'!$E$3:$E$7</xm:f>
          </x14:formula1>
          <xm:sqref>Q62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8</vt:i4>
      </vt:variant>
    </vt:vector>
  </HeadingPairs>
  <TitlesOfParts>
    <vt:vector size="19" baseType="lpstr">
      <vt:lpstr>данные строй</vt:lpstr>
      <vt:lpstr>Данные организации</vt:lpstr>
      <vt:lpstr>Данные объект</vt:lpstr>
      <vt:lpstr>АОСР-1</vt:lpstr>
      <vt:lpstr>АОСР-2</vt:lpstr>
      <vt:lpstr>АОСР-3</vt:lpstr>
      <vt:lpstr>АОСР-4</vt:lpstr>
      <vt:lpstr>АОСР-5</vt:lpstr>
      <vt:lpstr>АОСР-6</vt:lpstr>
      <vt:lpstr>АОСР-7</vt:lpstr>
      <vt:lpstr>АОСР-пожар</vt:lpstr>
      <vt:lpstr>'АОСР-1'!Область_печати</vt:lpstr>
      <vt:lpstr>'АОСР-2'!Область_печати</vt:lpstr>
      <vt:lpstr>'АОСР-3'!Область_печати</vt:lpstr>
      <vt:lpstr>'АОСР-4'!Область_печати</vt:lpstr>
      <vt:lpstr>'АОСР-5'!Область_печати</vt:lpstr>
      <vt:lpstr>'АОСР-6'!Область_печати</vt:lpstr>
      <vt:lpstr>'АОСР-7'!Область_печати</vt:lpstr>
      <vt:lpstr>'АОСР-пожар'!Область_печати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ispolnitelnaya.ru</dc:creator>
  <cp:lastModifiedBy>Белоусова Екатерина Николаевна</cp:lastModifiedBy>
  <cp:lastPrinted>2026-07-15T14:30:37Z</cp:lastPrinted>
  <dcterms:created xsi:type="dcterms:W3CDTF">2018-02-24T16:53:12Z</dcterms:created>
  <dcterms:modified xsi:type="dcterms:W3CDTF">2026-07-15T15:13:06Z</dcterms:modified>
</cp:coreProperties>
</file>